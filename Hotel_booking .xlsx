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314" documentId="8_{0249286B-8430-4276-8558-6C87FCFF00D8}" xr6:coauthVersionLast="47" xr6:coauthVersionMax="47" xr10:uidLastSave="{6DC1D719-E8D8-410F-B85A-4E237EA1B7F5}"/>
  <bookViews>
    <workbookView xWindow="-110" yWindow="-110" windowWidth="19420" windowHeight="10300" xr2:uid="{932BE63A-0CC2-44A8-83A4-68481F58D9C1}"/>
  </bookViews>
  <sheets>
    <sheet name="Clean Data set" sheetId="3" r:id="rId1"/>
    <sheet name="BI insights" sheetId="4" r:id="rId2"/>
    <sheet name="hotel_booking_dataset" sheetId="1" r:id="rId3"/>
    <sheet name="Working data" sheetId="2" r:id="rId4"/>
  </sheets>
  <definedNames>
    <definedName name="_xlnm._FilterDatabase" localSheetId="2" hidden="1">hotel_booking_dataset!$B$1:$B$61</definedName>
    <definedName name="_xlnm._FilterDatabase" localSheetId="3" hidden="1">'Working data'!$L$1:$L$61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2" i="2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2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3" i="4"/>
  <c r="M4" i="4"/>
  <c r="M2" i="4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2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3" i="2"/>
  <c r="Q4" i="2"/>
  <c r="Q5" i="2"/>
  <c r="Q6" i="2"/>
  <c r="Q2" i="2"/>
  <c r="P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2" i="2"/>
</calcChain>
</file>

<file path=xl/sharedStrings.xml><?xml version="1.0" encoding="utf-8"?>
<sst xmlns="http://schemas.openxmlformats.org/spreadsheetml/2006/main" count="937" uniqueCount="97">
  <si>
    <t>bookingid</t>
  </si>
  <si>
    <t>guestname</t>
  </si>
  <si>
    <t>country</t>
  </si>
  <si>
    <t>checkindate</t>
  </si>
  <si>
    <t>checkoutdate</t>
  </si>
  <si>
    <t>roomtype</t>
  </si>
  <si>
    <t>nights</t>
  </si>
  <si>
    <t>guests</t>
  </si>
  <si>
    <t>pricepernight</t>
  </si>
  <si>
    <t>totalamt</t>
  </si>
  <si>
    <t>paymentstatus</t>
  </si>
  <si>
    <t>rating</t>
  </si>
  <si>
    <t>Bob Johnson</t>
  </si>
  <si>
    <t xml:space="preserve"> Brazil </t>
  </si>
  <si>
    <t>21/01/2023</t>
  </si>
  <si>
    <t>InvalidType</t>
  </si>
  <si>
    <t>David Brown</t>
  </si>
  <si>
    <t xml:space="preserve"> Spain</t>
  </si>
  <si>
    <t>19/03/2023</t>
  </si>
  <si>
    <t>Single</t>
  </si>
  <si>
    <t xml:space="preserve"> Alice Smith </t>
  </si>
  <si>
    <t>Canada</t>
  </si>
  <si>
    <t>Suite</t>
  </si>
  <si>
    <t>18/11/2023</t>
  </si>
  <si>
    <t>Family</t>
  </si>
  <si>
    <t xml:space="preserve"> Emily Davis </t>
  </si>
  <si>
    <t>28/09/2023</t>
  </si>
  <si>
    <t>India</t>
  </si>
  <si>
    <t>Deluxe</t>
  </si>
  <si>
    <t>27/08/2023</t>
  </si>
  <si>
    <t xml:space="preserve"> USA </t>
  </si>
  <si>
    <t xml:space="preserve"> Irene Taylor</t>
  </si>
  <si>
    <t xml:space="preserve"> Australia </t>
  </si>
  <si>
    <t>Henry Moore</t>
  </si>
  <si>
    <t xml:space="preserve"> UK</t>
  </si>
  <si>
    <t>26/10/2023</t>
  </si>
  <si>
    <t>Italy</t>
  </si>
  <si>
    <t>13/07/2023</t>
  </si>
  <si>
    <t>Frank Miller</t>
  </si>
  <si>
    <t>Double</t>
  </si>
  <si>
    <t>30/11/2023</t>
  </si>
  <si>
    <t>20/03/2023</t>
  </si>
  <si>
    <t xml:space="preserve"> Grace Wilson</t>
  </si>
  <si>
    <t>17/08/2023</t>
  </si>
  <si>
    <t>13/06/2023</t>
  </si>
  <si>
    <t>14/02/2023</t>
  </si>
  <si>
    <t xml:space="preserve"> Germany</t>
  </si>
  <si>
    <t>John Doe</t>
  </si>
  <si>
    <t>24/08/2023</t>
  </si>
  <si>
    <t xml:space="preserve"> Carol White</t>
  </si>
  <si>
    <t>18/01/2023</t>
  </si>
  <si>
    <t>29/01/2023</t>
  </si>
  <si>
    <t>30/10/2023</t>
  </si>
  <si>
    <t>21/03/2023</t>
  </si>
  <si>
    <t>20/11/2023</t>
  </si>
  <si>
    <t>29/11/2023</t>
  </si>
  <si>
    <t xml:space="preserve"> France </t>
  </si>
  <si>
    <t>21/06/2023</t>
  </si>
  <si>
    <t>28/06/2023</t>
  </si>
  <si>
    <t>27/06/2023</t>
  </si>
  <si>
    <t>14/03/2023</t>
  </si>
  <si>
    <t>26/06/2023</t>
  </si>
  <si>
    <t>WORKING Guest Name</t>
  </si>
  <si>
    <t>WORKING Country Name</t>
  </si>
  <si>
    <t>Standard.</t>
  </si>
  <si>
    <t>Nights</t>
  </si>
  <si>
    <t>avrg</t>
  </si>
  <si>
    <t>WORKING Nights</t>
  </si>
  <si>
    <t xml:space="preserve">Not Rated </t>
  </si>
  <si>
    <t>Working dates</t>
  </si>
  <si>
    <t>Booking-ID</t>
  </si>
  <si>
    <t>Alice Smith</t>
  </si>
  <si>
    <t>Emily Davis</t>
  </si>
  <si>
    <t>N/A</t>
  </si>
  <si>
    <t>Irene Taylor</t>
  </si>
  <si>
    <t>Grace Wilson</t>
  </si>
  <si>
    <t>Carol White</t>
  </si>
  <si>
    <t xml:space="preserve"> Guest Name</t>
  </si>
  <si>
    <t>Brazil</t>
  </si>
  <si>
    <t>Spain</t>
  </si>
  <si>
    <t>Usa</t>
  </si>
  <si>
    <t>Australia</t>
  </si>
  <si>
    <t>Uk</t>
  </si>
  <si>
    <t>Germany</t>
  </si>
  <si>
    <t>France</t>
  </si>
  <si>
    <t>Room-Type</t>
  </si>
  <si>
    <t xml:space="preserve"> Nights</t>
  </si>
  <si>
    <t>Guests</t>
  </si>
  <si>
    <t>Price-Per-Night</t>
  </si>
  <si>
    <t>Total-Amount</t>
  </si>
  <si>
    <t>Payment Status</t>
  </si>
  <si>
    <t>Rating</t>
  </si>
  <si>
    <t xml:space="preserve"> Country </t>
  </si>
  <si>
    <t>Paid</t>
  </si>
  <si>
    <t>Check-In-Date</t>
  </si>
  <si>
    <t>Check-Out-Date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</si>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</sst>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Serif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00B0F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8" fillId="0" borderId="10"/>
  </cellStyleXfs>
  <cellXfs count="6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10" xfId="43"/>
    <xf numFmtId="2" fontId="18" fillId="0" borderId="10" xfId="43" applyNumberForma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F31FF465-28F3-4FF7-AADF-D5D3018A6C87}"/>
    <cellStyle name="Style 2" xfId="43" xr:uid="{71E1B419-22F9-4274-9797-30FD48C5426D}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9532A-E65C-490D-A330-42FD3A992D8E}">
  <dimension ref="A1:M61"/>
  <sheetViews>
    <sheetView tabSelected="1" topLeftCell="B44" workbookViewId="0">
      <selection activeCell="N5" sqref="N5"/>
    </sheetView>
  </sheetViews>
  <sheetFormatPr defaultRowHeight="14.5" x14ac:dyDescent="0.35"/>
  <cols>
    <col min="1" max="1" width="11.36328125" customWidth="1"/>
    <col min="2" max="2" width="13.54296875" customWidth="1"/>
    <col min="3" max="3" width="12.36328125" customWidth="1"/>
    <col min="4" max="4" width="16" customWidth="1"/>
    <col min="5" max="5" width="16.81640625" customWidth="1"/>
    <col min="6" max="6" width="16.90625" customWidth="1"/>
    <col min="7" max="7" width="8.90625" style="5" customWidth="1"/>
    <col min="8" max="8" width="8.7265625" style="5"/>
    <col min="9" max="9" width="16.1796875" style="5" customWidth="1"/>
    <col min="10" max="10" width="14.1796875" style="5" customWidth="1"/>
    <col min="11" max="11" width="16" customWidth="1"/>
  </cols>
  <sheetData>
    <row r="1" spans="1:13" ht="16.5" thickBot="1" x14ac:dyDescent="0.45">
      <c r="A1" s="3" t="s">
        <v>70</v>
      </c>
      <c r="B1" s="3" t="s">
        <v>77</v>
      </c>
      <c r="C1" s="3" t="s">
        <v>92</v>
      </c>
      <c r="D1" s="3" t="s">
        <v>94</v>
      </c>
      <c r="E1" s="3" t="s">
        <v>95</v>
      </c>
      <c r="F1" s="3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3" t="s">
        <v>90</v>
      </c>
      <c r="L1" s="3" t="s">
        <v>91</v>
      </c>
    </row>
    <row r="2" spans="1:13" ht="15" thickTop="1" x14ac:dyDescent="0.35">
      <c r="A2">
        <v>1</v>
      </c>
      <c r="B2" t="s">
        <v>12</v>
      </c>
      <c r="C2" t="s">
        <v>78</v>
      </c>
      <c r="D2" s="2">
        <v>44947</v>
      </c>
      <c r="E2" s="2">
        <v>45160</v>
      </c>
      <c r="F2" t="s">
        <v>64</v>
      </c>
      <c r="G2" s="5">
        <v>2</v>
      </c>
      <c r="H2" s="5">
        <v>3</v>
      </c>
      <c r="I2" s="5">
        <v>121.74</v>
      </c>
      <c r="J2" s="5">
        <v>243.48</v>
      </c>
      <c r="K2" t="s">
        <v>93</v>
      </c>
      <c r="L2" t="s">
        <v>68</v>
      </c>
      <c r="M2" t="b">
        <f>E2&gt;D2</f>
        <v>1</v>
      </c>
    </row>
    <row r="3" spans="1:13" x14ac:dyDescent="0.35">
      <c r="A3">
        <v>2</v>
      </c>
      <c r="B3" t="s">
        <v>16</v>
      </c>
      <c r="C3" t="s">
        <v>79</v>
      </c>
      <c r="D3" s="2">
        <v>45004</v>
      </c>
      <c r="E3" s="2">
        <v>45174</v>
      </c>
      <c r="F3" t="s">
        <v>19</v>
      </c>
      <c r="G3" s="5">
        <v>10</v>
      </c>
      <c r="H3" s="5">
        <v>1</v>
      </c>
      <c r="I3" s="5">
        <v>262.10000000000002</v>
      </c>
      <c r="J3" s="5">
        <v>2621</v>
      </c>
      <c r="K3" t="s">
        <v>96</v>
      </c>
      <c r="L3" t="s">
        <v>68</v>
      </c>
      <c r="M3" t="b">
        <f t="shared" ref="M3:M61" si="0">E3&gt;D3</f>
        <v>1</v>
      </c>
    </row>
    <row r="4" spans="1:13" x14ac:dyDescent="0.35">
      <c r="A4">
        <v>3</v>
      </c>
      <c r="B4" t="s">
        <v>71</v>
      </c>
      <c r="C4" t="s">
        <v>21</v>
      </c>
      <c r="D4" s="2">
        <v>44975</v>
      </c>
      <c r="E4" s="2">
        <v>45017</v>
      </c>
      <c r="F4" t="s">
        <v>22</v>
      </c>
      <c r="G4" s="5">
        <v>4</v>
      </c>
      <c r="H4" s="5">
        <v>2</v>
      </c>
      <c r="I4" s="5">
        <v>288.16000000000003</v>
      </c>
      <c r="J4" s="5">
        <v>1152.6400000000001</v>
      </c>
      <c r="K4" t="s">
        <v>93</v>
      </c>
      <c r="L4">
        <v>1</v>
      </c>
      <c r="M4" t="b">
        <f t="shared" si="0"/>
        <v>1</v>
      </c>
    </row>
    <row r="5" spans="1:13" x14ac:dyDescent="0.35">
      <c r="A5">
        <v>4</v>
      </c>
      <c r="B5" t="s">
        <v>71</v>
      </c>
      <c r="C5" t="s">
        <v>79</v>
      </c>
      <c r="D5" s="2">
        <v>45242</v>
      </c>
      <c r="E5" s="2">
        <v>45248</v>
      </c>
      <c r="F5" t="s">
        <v>24</v>
      </c>
      <c r="G5" s="5">
        <v>4</v>
      </c>
      <c r="H5" s="5">
        <v>4</v>
      </c>
      <c r="I5" s="5">
        <v>273.20999999999998</v>
      </c>
      <c r="J5" s="5">
        <v>1092.8399999999999</v>
      </c>
      <c r="K5" t="s">
        <v>93</v>
      </c>
      <c r="L5">
        <v>1</v>
      </c>
      <c r="M5" t="b">
        <f t="shared" si="0"/>
        <v>1</v>
      </c>
    </row>
    <row r="6" spans="1:13" x14ac:dyDescent="0.35">
      <c r="A6">
        <v>5</v>
      </c>
      <c r="B6" t="s">
        <v>72</v>
      </c>
      <c r="C6" t="s">
        <v>21</v>
      </c>
      <c r="D6" s="2">
        <v>45080</v>
      </c>
      <c r="E6" s="2">
        <v>45147</v>
      </c>
      <c r="F6" t="s">
        <v>22</v>
      </c>
      <c r="G6" s="5">
        <v>4</v>
      </c>
      <c r="H6" s="5">
        <v>3</v>
      </c>
      <c r="I6" s="5">
        <v>153.28</v>
      </c>
      <c r="J6" s="5">
        <v>613.12</v>
      </c>
      <c r="K6" t="s">
        <v>96</v>
      </c>
      <c r="L6">
        <v>5</v>
      </c>
      <c r="M6" t="b">
        <f t="shared" si="0"/>
        <v>1</v>
      </c>
    </row>
    <row r="7" spans="1:13" x14ac:dyDescent="0.35">
      <c r="A7">
        <v>6</v>
      </c>
      <c r="B7" t="s">
        <v>73</v>
      </c>
      <c r="C7" t="s">
        <v>21</v>
      </c>
      <c r="D7" s="2">
        <v>44971</v>
      </c>
      <c r="E7" s="2">
        <v>45197</v>
      </c>
      <c r="F7" t="s">
        <v>24</v>
      </c>
      <c r="G7" s="5">
        <v>1</v>
      </c>
      <c r="H7" s="5">
        <v>2</v>
      </c>
      <c r="I7" s="5">
        <v>189.93</v>
      </c>
      <c r="J7" s="5">
        <v>189.93</v>
      </c>
      <c r="K7" t="s">
        <v>93</v>
      </c>
      <c r="L7">
        <v>1</v>
      </c>
      <c r="M7" t="b">
        <f t="shared" si="0"/>
        <v>1</v>
      </c>
    </row>
    <row r="8" spans="1:13" x14ac:dyDescent="0.35">
      <c r="A8">
        <v>7</v>
      </c>
      <c r="B8" t="s">
        <v>71</v>
      </c>
      <c r="C8" t="s">
        <v>27</v>
      </c>
      <c r="D8" s="2">
        <v>44980</v>
      </c>
      <c r="E8" s="2">
        <v>45045</v>
      </c>
      <c r="F8" t="s">
        <v>28</v>
      </c>
      <c r="G8" s="5">
        <v>6</v>
      </c>
      <c r="H8" s="5">
        <v>4</v>
      </c>
      <c r="I8" s="5">
        <v>224.52</v>
      </c>
      <c r="J8" s="5">
        <v>1347.1200000000001</v>
      </c>
      <c r="K8" t="s">
        <v>93</v>
      </c>
      <c r="L8" t="s">
        <v>68</v>
      </c>
      <c r="M8" t="b">
        <f t="shared" si="0"/>
        <v>1</v>
      </c>
    </row>
    <row r="9" spans="1:13" x14ac:dyDescent="0.35">
      <c r="A9">
        <v>8</v>
      </c>
      <c r="B9" t="s">
        <v>73</v>
      </c>
      <c r="C9" t="s">
        <v>73</v>
      </c>
      <c r="D9" s="2">
        <v>45165</v>
      </c>
      <c r="E9" s="2">
        <v>45225</v>
      </c>
      <c r="F9" t="s">
        <v>28</v>
      </c>
      <c r="G9" s="5">
        <v>1</v>
      </c>
      <c r="H9" s="5">
        <v>2</v>
      </c>
      <c r="I9" s="5">
        <v>193.12</v>
      </c>
      <c r="J9" s="5">
        <v>193.12</v>
      </c>
      <c r="K9" t="s">
        <v>96</v>
      </c>
      <c r="L9">
        <v>3</v>
      </c>
      <c r="M9" t="b">
        <f t="shared" si="0"/>
        <v>1</v>
      </c>
    </row>
    <row r="10" spans="1:13" x14ac:dyDescent="0.35">
      <c r="A10">
        <v>9</v>
      </c>
      <c r="B10" t="s">
        <v>72</v>
      </c>
      <c r="C10" t="s">
        <v>80</v>
      </c>
      <c r="D10" s="2">
        <v>45051</v>
      </c>
      <c r="E10" s="2">
        <v>45144</v>
      </c>
      <c r="F10" t="s">
        <v>19</v>
      </c>
      <c r="G10" s="5">
        <v>1</v>
      </c>
      <c r="H10" s="5">
        <v>2</v>
      </c>
      <c r="I10" s="5">
        <v>252.69</v>
      </c>
      <c r="J10" s="5">
        <v>252.69</v>
      </c>
      <c r="K10" t="s">
        <v>93</v>
      </c>
      <c r="L10">
        <v>2</v>
      </c>
      <c r="M10" t="b">
        <f t="shared" si="0"/>
        <v>1</v>
      </c>
    </row>
    <row r="11" spans="1:13" x14ac:dyDescent="0.35">
      <c r="A11">
        <v>10</v>
      </c>
      <c r="B11" t="s">
        <v>74</v>
      </c>
      <c r="C11" t="s">
        <v>21</v>
      </c>
      <c r="D11" s="2">
        <v>44993</v>
      </c>
      <c r="E11" s="2">
        <v>45267</v>
      </c>
      <c r="F11" t="s">
        <v>19</v>
      </c>
      <c r="G11" s="5">
        <v>4</v>
      </c>
      <c r="H11" s="5">
        <v>4</v>
      </c>
      <c r="I11" s="5">
        <v>234.9</v>
      </c>
      <c r="J11" s="5">
        <v>939.6</v>
      </c>
      <c r="K11" t="s">
        <v>93</v>
      </c>
      <c r="L11">
        <v>4</v>
      </c>
      <c r="M11" t="b">
        <f t="shared" si="0"/>
        <v>1</v>
      </c>
    </row>
    <row r="12" spans="1:13" x14ac:dyDescent="0.35">
      <c r="A12">
        <v>11</v>
      </c>
      <c r="B12" t="s">
        <v>73</v>
      </c>
      <c r="C12" t="s">
        <v>81</v>
      </c>
      <c r="D12" s="2">
        <v>45128</v>
      </c>
      <c r="E12" s="2">
        <v>45251</v>
      </c>
      <c r="F12" t="s">
        <v>19</v>
      </c>
      <c r="G12" s="5">
        <v>9</v>
      </c>
      <c r="H12" s="5">
        <v>2</v>
      </c>
      <c r="I12" s="5">
        <v>463.33</v>
      </c>
      <c r="J12" s="5">
        <v>4169.97</v>
      </c>
      <c r="K12" t="s">
        <v>96</v>
      </c>
      <c r="L12">
        <v>5</v>
      </c>
      <c r="M12" t="b">
        <f t="shared" si="0"/>
        <v>1</v>
      </c>
    </row>
    <row r="13" spans="1:13" x14ac:dyDescent="0.35">
      <c r="A13">
        <v>12</v>
      </c>
      <c r="B13" t="s">
        <v>33</v>
      </c>
      <c r="C13" t="s">
        <v>82</v>
      </c>
      <c r="D13" s="2">
        <v>44985</v>
      </c>
      <c r="E13" s="2">
        <v>45225</v>
      </c>
      <c r="F13" t="s">
        <v>28</v>
      </c>
      <c r="G13" s="5">
        <v>2</v>
      </c>
      <c r="H13" s="5">
        <v>4</v>
      </c>
      <c r="I13" s="5">
        <v>290.26</v>
      </c>
      <c r="J13" s="5">
        <v>580.52</v>
      </c>
      <c r="K13" t="s">
        <v>93</v>
      </c>
      <c r="L13">
        <v>5</v>
      </c>
      <c r="M13" t="b">
        <f t="shared" si="0"/>
        <v>1</v>
      </c>
    </row>
    <row r="14" spans="1:13" x14ac:dyDescent="0.35">
      <c r="A14">
        <v>13</v>
      </c>
      <c r="B14" t="s">
        <v>71</v>
      </c>
      <c r="C14" t="s">
        <v>81</v>
      </c>
      <c r="D14" s="2">
        <v>45002</v>
      </c>
      <c r="E14" s="2">
        <v>45107</v>
      </c>
      <c r="F14" t="s">
        <v>64</v>
      </c>
      <c r="G14" s="5">
        <v>10</v>
      </c>
      <c r="H14" s="5">
        <v>1</v>
      </c>
      <c r="I14" s="5">
        <v>149.19</v>
      </c>
      <c r="J14" s="5">
        <v>1491.9</v>
      </c>
      <c r="K14" t="s">
        <v>93</v>
      </c>
      <c r="L14">
        <v>3</v>
      </c>
      <c r="M14" t="b">
        <f t="shared" si="0"/>
        <v>1</v>
      </c>
    </row>
    <row r="15" spans="1:13" x14ac:dyDescent="0.35">
      <c r="A15">
        <v>14</v>
      </c>
      <c r="B15" t="s">
        <v>73</v>
      </c>
      <c r="C15" t="s">
        <v>36</v>
      </c>
      <c r="D15" s="2">
        <v>44995</v>
      </c>
      <c r="E15" s="2">
        <v>45120</v>
      </c>
      <c r="F15" t="s">
        <v>22</v>
      </c>
      <c r="G15" s="5">
        <v>8</v>
      </c>
      <c r="H15" s="5">
        <v>2</v>
      </c>
      <c r="I15" s="5">
        <v>199.65</v>
      </c>
      <c r="J15" s="5">
        <v>1597.2</v>
      </c>
      <c r="K15" t="s">
        <v>96</v>
      </c>
      <c r="L15">
        <v>5</v>
      </c>
      <c r="M15" t="b">
        <f t="shared" si="0"/>
        <v>1</v>
      </c>
    </row>
    <row r="16" spans="1:13" x14ac:dyDescent="0.35">
      <c r="A16">
        <v>15</v>
      </c>
      <c r="B16" t="s">
        <v>38</v>
      </c>
      <c r="C16" t="s">
        <v>73</v>
      </c>
      <c r="D16" s="2">
        <v>44938</v>
      </c>
      <c r="E16" s="2">
        <v>45191</v>
      </c>
      <c r="F16" t="s">
        <v>39</v>
      </c>
      <c r="G16" s="5">
        <v>6</v>
      </c>
      <c r="H16" s="5">
        <v>1</v>
      </c>
      <c r="I16" s="5">
        <v>261.08999999999997</v>
      </c>
      <c r="J16" s="5">
        <v>1566.54</v>
      </c>
      <c r="K16" t="s">
        <v>93</v>
      </c>
      <c r="L16">
        <v>5</v>
      </c>
      <c r="M16" t="b">
        <f t="shared" si="0"/>
        <v>1</v>
      </c>
    </row>
    <row r="17" spans="1:13" x14ac:dyDescent="0.35">
      <c r="A17">
        <v>16</v>
      </c>
      <c r="B17" t="s">
        <v>71</v>
      </c>
      <c r="C17" t="s">
        <v>82</v>
      </c>
      <c r="D17" s="2">
        <v>44992</v>
      </c>
      <c r="E17" s="2">
        <v>45120</v>
      </c>
      <c r="F17" t="s">
        <v>64</v>
      </c>
      <c r="G17" s="5">
        <v>2</v>
      </c>
      <c r="H17" s="5">
        <v>1</v>
      </c>
      <c r="I17" s="5">
        <v>200.49</v>
      </c>
      <c r="J17" s="5">
        <v>400.98</v>
      </c>
      <c r="K17" t="s">
        <v>93</v>
      </c>
      <c r="L17">
        <v>2</v>
      </c>
      <c r="M17" t="b">
        <f t="shared" si="0"/>
        <v>1</v>
      </c>
    </row>
    <row r="18" spans="1:13" x14ac:dyDescent="0.35">
      <c r="A18">
        <v>17</v>
      </c>
      <c r="B18" t="s">
        <v>71</v>
      </c>
      <c r="C18" t="s">
        <v>36</v>
      </c>
      <c r="D18" s="2">
        <v>44945</v>
      </c>
      <c r="E18" s="2">
        <v>45260</v>
      </c>
      <c r="F18" t="s">
        <v>28</v>
      </c>
      <c r="G18" s="5">
        <v>6</v>
      </c>
      <c r="H18" s="5">
        <v>2</v>
      </c>
      <c r="I18" s="5">
        <v>300.08</v>
      </c>
      <c r="J18" s="5">
        <v>1800.48</v>
      </c>
      <c r="K18" t="s">
        <v>93</v>
      </c>
      <c r="L18">
        <v>4</v>
      </c>
      <c r="M18" t="b">
        <f t="shared" si="0"/>
        <v>1</v>
      </c>
    </row>
    <row r="19" spans="1:13" x14ac:dyDescent="0.35">
      <c r="A19">
        <v>18</v>
      </c>
      <c r="B19" t="s">
        <v>74</v>
      </c>
      <c r="C19" t="s">
        <v>81</v>
      </c>
      <c r="D19" s="2">
        <v>44966</v>
      </c>
      <c r="E19" s="2">
        <v>45115</v>
      </c>
      <c r="F19" t="s">
        <v>24</v>
      </c>
      <c r="G19" s="5">
        <v>8</v>
      </c>
      <c r="H19" s="5">
        <v>4</v>
      </c>
      <c r="I19" s="5">
        <v>465.92</v>
      </c>
      <c r="J19" s="5">
        <v>3727.36</v>
      </c>
      <c r="K19" t="s">
        <v>96</v>
      </c>
      <c r="L19" t="s">
        <v>68</v>
      </c>
      <c r="M19" t="b">
        <f t="shared" si="0"/>
        <v>1</v>
      </c>
    </row>
    <row r="20" spans="1:13" x14ac:dyDescent="0.35">
      <c r="A20">
        <v>19</v>
      </c>
      <c r="B20" t="s">
        <v>73</v>
      </c>
      <c r="C20" t="s">
        <v>80</v>
      </c>
      <c r="D20" s="2">
        <v>45029</v>
      </c>
      <c r="E20" s="2">
        <v>45097</v>
      </c>
      <c r="F20" t="s">
        <v>28</v>
      </c>
      <c r="G20" s="5">
        <v>4</v>
      </c>
      <c r="H20" s="5">
        <v>3</v>
      </c>
      <c r="I20" s="5">
        <v>241.42</v>
      </c>
      <c r="J20" s="5">
        <v>965.68</v>
      </c>
      <c r="K20" t="s">
        <v>93</v>
      </c>
      <c r="L20">
        <v>4</v>
      </c>
      <c r="M20" t="b">
        <f t="shared" si="0"/>
        <v>1</v>
      </c>
    </row>
    <row r="21" spans="1:13" x14ac:dyDescent="0.35">
      <c r="A21">
        <v>20</v>
      </c>
      <c r="B21" t="s">
        <v>16</v>
      </c>
      <c r="C21" t="s">
        <v>36</v>
      </c>
      <c r="D21" s="2">
        <v>44994</v>
      </c>
      <c r="E21" s="2">
        <v>45005</v>
      </c>
      <c r="F21" t="s">
        <v>28</v>
      </c>
      <c r="G21" s="5">
        <v>3</v>
      </c>
      <c r="H21" s="5">
        <v>3</v>
      </c>
      <c r="I21" s="5">
        <v>453.19</v>
      </c>
      <c r="J21" s="5">
        <v>1359.57</v>
      </c>
      <c r="K21" t="s">
        <v>93</v>
      </c>
      <c r="L21" t="s">
        <v>68</v>
      </c>
      <c r="M21" t="b">
        <f t="shared" si="0"/>
        <v>1</v>
      </c>
    </row>
    <row r="22" spans="1:13" x14ac:dyDescent="0.35">
      <c r="A22">
        <v>21</v>
      </c>
      <c r="B22" t="s">
        <v>16</v>
      </c>
      <c r="C22" t="s">
        <v>80</v>
      </c>
      <c r="D22" s="2">
        <v>45157</v>
      </c>
      <c r="E22" s="2">
        <v>45274</v>
      </c>
      <c r="F22" t="s">
        <v>28</v>
      </c>
      <c r="G22" s="5">
        <v>4</v>
      </c>
      <c r="H22" s="5">
        <v>1</v>
      </c>
      <c r="I22" s="5">
        <v>67.98</v>
      </c>
      <c r="J22" s="5">
        <v>271.92</v>
      </c>
      <c r="K22" t="s">
        <v>96</v>
      </c>
      <c r="L22">
        <v>3</v>
      </c>
      <c r="M22" t="b">
        <f t="shared" si="0"/>
        <v>1</v>
      </c>
    </row>
    <row r="23" spans="1:13" x14ac:dyDescent="0.35">
      <c r="A23">
        <v>22</v>
      </c>
      <c r="B23" t="s">
        <v>75</v>
      </c>
      <c r="C23" t="s">
        <v>82</v>
      </c>
      <c r="D23" s="2">
        <v>45090</v>
      </c>
      <c r="E23" s="2">
        <v>45155</v>
      </c>
      <c r="F23" t="s">
        <v>28</v>
      </c>
      <c r="G23" s="5">
        <v>10</v>
      </c>
      <c r="H23" s="5">
        <v>1</v>
      </c>
      <c r="I23" s="5">
        <v>333.38</v>
      </c>
      <c r="J23" s="5">
        <v>3333.8</v>
      </c>
      <c r="K23" t="s">
        <v>93</v>
      </c>
      <c r="L23" t="s">
        <v>68</v>
      </c>
      <c r="M23" t="b">
        <f t="shared" si="0"/>
        <v>1</v>
      </c>
    </row>
    <row r="24" spans="1:13" x14ac:dyDescent="0.35">
      <c r="A24">
        <v>23</v>
      </c>
      <c r="B24" t="s">
        <v>71</v>
      </c>
      <c r="C24" t="s">
        <v>81</v>
      </c>
      <c r="D24" s="2">
        <v>44971</v>
      </c>
      <c r="E24" s="2">
        <v>45120</v>
      </c>
      <c r="F24" t="s">
        <v>19</v>
      </c>
      <c r="G24" s="5">
        <v>3</v>
      </c>
      <c r="H24" s="5">
        <v>2</v>
      </c>
      <c r="I24" s="5">
        <v>228.6</v>
      </c>
      <c r="J24" s="5">
        <v>685.8</v>
      </c>
      <c r="K24" t="s">
        <v>93</v>
      </c>
      <c r="L24" t="s">
        <v>68</v>
      </c>
      <c r="M24" t="b">
        <f t="shared" si="0"/>
        <v>1</v>
      </c>
    </row>
    <row r="25" spans="1:13" x14ac:dyDescent="0.35">
      <c r="A25">
        <v>24</v>
      </c>
      <c r="B25" t="s">
        <v>72</v>
      </c>
      <c r="C25" t="s">
        <v>83</v>
      </c>
      <c r="D25" s="2">
        <v>44958</v>
      </c>
      <c r="E25" s="2">
        <v>45227</v>
      </c>
      <c r="F25" t="s">
        <v>64</v>
      </c>
      <c r="G25" s="5">
        <v>4</v>
      </c>
      <c r="H25" s="5">
        <v>4</v>
      </c>
      <c r="I25" s="5">
        <v>362.87</v>
      </c>
      <c r="J25" s="5">
        <v>1451.48</v>
      </c>
      <c r="K25" t="s">
        <v>96</v>
      </c>
      <c r="L25">
        <v>5</v>
      </c>
      <c r="M25" t="b">
        <f t="shared" si="0"/>
        <v>1</v>
      </c>
    </row>
    <row r="26" spans="1:13" x14ac:dyDescent="0.35">
      <c r="A26">
        <v>25</v>
      </c>
      <c r="B26" t="s">
        <v>47</v>
      </c>
      <c r="C26" t="s">
        <v>78</v>
      </c>
      <c r="D26" s="2">
        <v>44965</v>
      </c>
      <c r="E26" s="2">
        <v>45162</v>
      </c>
      <c r="F26" t="s">
        <v>64</v>
      </c>
      <c r="G26" s="5">
        <v>4</v>
      </c>
      <c r="H26" s="5">
        <v>3</v>
      </c>
      <c r="I26" s="5">
        <v>296.64999999999998</v>
      </c>
      <c r="J26" s="5">
        <v>1186.5999999999999</v>
      </c>
      <c r="K26" t="s">
        <v>93</v>
      </c>
      <c r="L26">
        <v>1</v>
      </c>
      <c r="M26" t="b">
        <f t="shared" si="0"/>
        <v>1</v>
      </c>
    </row>
    <row r="27" spans="1:13" x14ac:dyDescent="0.35">
      <c r="A27">
        <v>26</v>
      </c>
      <c r="B27" t="s">
        <v>76</v>
      </c>
      <c r="C27" t="s">
        <v>83</v>
      </c>
      <c r="D27" s="2">
        <v>44966</v>
      </c>
      <c r="E27" s="2">
        <v>45099</v>
      </c>
      <c r="F27" t="s">
        <v>24</v>
      </c>
      <c r="G27" s="5">
        <v>4</v>
      </c>
      <c r="H27" s="5">
        <v>2</v>
      </c>
      <c r="I27" s="5">
        <v>229.57</v>
      </c>
      <c r="J27" s="5">
        <v>918.28</v>
      </c>
      <c r="K27" t="s">
        <v>93</v>
      </c>
      <c r="L27" t="s">
        <v>68</v>
      </c>
      <c r="M27" t="b">
        <f t="shared" si="0"/>
        <v>1</v>
      </c>
    </row>
    <row r="28" spans="1:13" x14ac:dyDescent="0.35">
      <c r="A28">
        <v>27</v>
      </c>
      <c r="B28" t="s">
        <v>74</v>
      </c>
      <c r="C28" t="s">
        <v>73</v>
      </c>
      <c r="D28" s="2">
        <v>45206</v>
      </c>
      <c r="E28" s="2">
        <v>45245</v>
      </c>
      <c r="F28" t="s">
        <v>19</v>
      </c>
      <c r="G28" s="5">
        <v>4</v>
      </c>
      <c r="H28" s="5">
        <v>3</v>
      </c>
      <c r="I28" s="5">
        <v>206.26</v>
      </c>
      <c r="J28" s="5">
        <v>825.04</v>
      </c>
      <c r="K28" t="s">
        <v>96</v>
      </c>
      <c r="L28">
        <v>2</v>
      </c>
      <c r="M28" t="b">
        <f t="shared" si="0"/>
        <v>1</v>
      </c>
    </row>
    <row r="29" spans="1:13" x14ac:dyDescent="0.35">
      <c r="A29">
        <v>28</v>
      </c>
      <c r="B29" t="s">
        <v>16</v>
      </c>
      <c r="C29" t="s">
        <v>27</v>
      </c>
      <c r="D29" s="2">
        <v>44944</v>
      </c>
      <c r="E29" s="2">
        <v>45063</v>
      </c>
      <c r="F29" t="s">
        <v>22</v>
      </c>
      <c r="G29" s="5">
        <v>7</v>
      </c>
      <c r="H29" s="5">
        <v>4</v>
      </c>
      <c r="I29" s="5">
        <v>351.99</v>
      </c>
      <c r="J29" s="5">
        <v>2463.9300000000003</v>
      </c>
      <c r="K29" t="s">
        <v>93</v>
      </c>
      <c r="L29">
        <v>3</v>
      </c>
      <c r="M29" t="b">
        <f t="shared" si="0"/>
        <v>1</v>
      </c>
    </row>
    <row r="30" spans="1:13" x14ac:dyDescent="0.35">
      <c r="A30">
        <v>29</v>
      </c>
      <c r="B30" t="s">
        <v>74</v>
      </c>
      <c r="C30" t="s">
        <v>73</v>
      </c>
      <c r="D30" s="2">
        <v>44955</v>
      </c>
      <c r="E30" s="2">
        <v>45010</v>
      </c>
      <c r="F30" t="s">
        <v>19</v>
      </c>
      <c r="G30" s="5">
        <v>4</v>
      </c>
      <c r="H30" s="5">
        <v>4</v>
      </c>
      <c r="I30" s="5">
        <v>299.86</v>
      </c>
      <c r="J30" s="5">
        <v>1199.44</v>
      </c>
      <c r="K30" t="s">
        <v>93</v>
      </c>
      <c r="L30" t="s">
        <v>68</v>
      </c>
      <c r="M30" t="b">
        <f t="shared" si="0"/>
        <v>1</v>
      </c>
    </row>
    <row r="31" spans="1:13" x14ac:dyDescent="0.35">
      <c r="A31">
        <v>30</v>
      </c>
      <c r="B31" t="s">
        <v>72</v>
      </c>
      <c r="C31" t="s">
        <v>83</v>
      </c>
      <c r="D31" s="2">
        <v>45229</v>
      </c>
      <c r="E31" s="2">
        <v>45262</v>
      </c>
      <c r="F31" t="s">
        <v>22</v>
      </c>
      <c r="G31" s="5">
        <v>9</v>
      </c>
      <c r="H31" s="5">
        <v>2</v>
      </c>
      <c r="I31" s="5">
        <v>388.97</v>
      </c>
      <c r="J31" s="5">
        <v>3500.7300000000005</v>
      </c>
      <c r="K31" t="s">
        <v>96</v>
      </c>
      <c r="L31" t="s">
        <v>68</v>
      </c>
      <c r="M31" t="b">
        <f t="shared" si="0"/>
        <v>1</v>
      </c>
    </row>
    <row r="32" spans="1:13" x14ac:dyDescent="0.35">
      <c r="A32">
        <v>31</v>
      </c>
      <c r="B32" t="s">
        <v>73</v>
      </c>
      <c r="C32" t="s">
        <v>78</v>
      </c>
      <c r="D32" s="2">
        <v>44934</v>
      </c>
      <c r="E32" s="2">
        <v>45256</v>
      </c>
      <c r="F32" t="s">
        <v>64</v>
      </c>
      <c r="G32" s="5">
        <v>8</v>
      </c>
      <c r="H32" s="5">
        <v>2</v>
      </c>
      <c r="I32" s="5">
        <v>134.63</v>
      </c>
      <c r="J32" s="5">
        <v>1077.04</v>
      </c>
      <c r="K32" t="s">
        <v>93</v>
      </c>
      <c r="L32" t="s">
        <v>68</v>
      </c>
      <c r="M32" t="b">
        <f t="shared" si="0"/>
        <v>1</v>
      </c>
    </row>
    <row r="33" spans="1:13" x14ac:dyDescent="0.35">
      <c r="A33">
        <v>32</v>
      </c>
      <c r="B33" t="s">
        <v>47</v>
      </c>
      <c r="C33" t="s">
        <v>81</v>
      </c>
      <c r="D33" s="2">
        <v>45160</v>
      </c>
      <c r="E33" s="2">
        <v>45188</v>
      </c>
      <c r="F33" t="s">
        <v>22</v>
      </c>
      <c r="G33" s="5">
        <v>10</v>
      </c>
      <c r="H33" s="5">
        <v>1</v>
      </c>
      <c r="I33" s="5">
        <v>119.75</v>
      </c>
      <c r="J33" s="5">
        <v>1197.5</v>
      </c>
      <c r="K33" t="s">
        <v>93</v>
      </c>
      <c r="L33">
        <v>4</v>
      </c>
      <c r="M33" t="b">
        <f t="shared" si="0"/>
        <v>1</v>
      </c>
    </row>
    <row r="34" spans="1:13" x14ac:dyDescent="0.35">
      <c r="A34">
        <v>33</v>
      </c>
      <c r="B34" t="s">
        <v>12</v>
      </c>
      <c r="C34" t="s">
        <v>36</v>
      </c>
      <c r="D34" s="2">
        <v>45117</v>
      </c>
      <c r="E34" s="2">
        <v>45124</v>
      </c>
      <c r="F34" t="s">
        <v>24</v>
      </c>
      <c r="G34" s="5">
        <v>4</v>
      </c>
      <c r="H34" s="5">
        <v>2</v>
      </c>
      <c r="I34" s="5">
        <v>206.89</v>
      </c>
      <c r="J34" s="5">
        <v>827.56</v>
      </c>
      <c r="K34" t="s">
        <v>93</v>
      </c>
      <c r="L34">
        <v>4</v>
      </c>
      <c r="M34" t="b">
        <f t="shared" si="0"/>
        <v>1</v>
      </c>
    </row>
    <row r="35" spans="1:13" x14ac:dyDescent="0.35">
      <c r="A35">
        <v>34</v>
      </c>
      <c r="B35" t="s">
        <v>76</v>
      </c>
      <c r="C35" t="s">
        <v>82</v>
      </c>
      <c r="D35" s="2">
        <v>45082</v>
      </c>
      <c r="E35" s="2">
        <v>45196</v>
      </c>
      <c r="F35" t="s">
        <v>64</v>
      </c>
      <c r="G35" s="5">
        <v>5</v>
      </c>
      <c r="H35" s="5">
        <v>1</v>
      </c>
      <c r="I35" s="5">
        <v>289.64999999999998</v>
      </c>
      <c r="J35" s="5">
        <v>1448.25</v>
      </c>
      <c r="K35" t="s">
        <v>96</v>
      </c>
      <c r="L35">
        <v>2</v>
      </c>
      <c r="M35" t="b">
        <f t="shared" si="0"/>
        <v>1</v>
      </c>
    </row>
    <row r="36" spans="1:13" x14ac:dyDescent="0.35">
      <c r="A36">
        <v>35</v>
      </c>
      <c r="B36" t="s">
        <v>75</v>
      </c>
      <c r="C36" t="s">
        <v>80</v>
      </c>
      <c r="D36" s="2">
        <v>44929</v>
      </c>
      <c r="E36" s="2">
        <v>45271</v>
      </c>
      <c r="F36" t="s">
        <v>39</v>
      </c>
      <c r="G36" s="5">
        <v>6</v>
      </c>
      <c r="H36" s="5">
        <v>3</v>
      </c>
      <c r="I36" s="5">
        <v>219.2</v>
      </c>
      <c r="J36" s="5">
        <v>1315.1999999999998</v>
      </c>
      <c r="K36" t="s">
        <v>93</v>
      </c>
      <c r="L36">
        <v>4</v>
      </c>
      <c r="M36" t="b">
        <f t="shared" si="0"/>
        <v>1</v>
      </c>
    </row>
    <row r="37" spans="1:13" x14ac:dyDescent="0.35">
      <c r="A37">
        <v>36</v>
      </c>
      <c r="B37" t="s">
        <v>12</v>
      </c>
      <c r="C37" t="s">
        <v>78</v>
      </c>
      <c r="D37" s="2">
        <v>45006</v>
      </c>
      <c r="E37" s="2">
        <v>45250</v>
      </c>
      <c r="F37" t="s">
        <v>64</v>
      </c>
      <c r="G37" s="5">
        <v>5</v>
      </c>
      <c r="H37" s="5">
        <v>3</v>
      </c>
      <c r="I37" s="5">
        <v>138.34</v>
      </c>
      <c r="J37" s="5">
        <v>691.7</v>
      </c>
      <c r="K37" t="s">
        <v>93</v>
      </c>
      <c r="L37">
        <v>1</v>
      </c>
      <c r="M37" t="b">
        <f t="shared" si="0"/>
        <v>1</v>
      </c>
    </row>
    <row r="38" spans="1:13" x14ac:dyDescent="0.35">
      <c r="A38">
        <v>37</v>
      </c>
      <c r="B38" t="s">
        <v>38</v>
      </c>
      <c r="C38" t="s">
        <v>36</v>
      </c>
      <c r="D38" s="2">
        <v>44952</v>
      </c>
      <c r="E38" s="2">
        <v>45224</v>
      </c>
      <c r="F38" t="s">
        <v>64</v>
      </c>
      <c r="G38" s="5">
        <v>6</v>
      </c>
      <c r="H38" s="5">
        <v>4</v>
      </c>
      <c r="I38" s="5">
        <v>444.01</v>
      </c>
      <c r="J38" s="5">
        <v>2664.06</v>
      </c>
      <c r="K38" t="s">
        <v>96</v>
      </c>
      <c r="L38">
        <v>2</v>
      </c>
      <c r="M38" t="b">
        <f t="shared" si="0"/>
        <v>1</v>
      </c>
    </row>
    <row r="39" spans="1:13" x14ac:dyDescent="0.35">
      <c r="A39">
        <v>38</v>
      </c>
      <c r="B39" t="s">
        <v>73</v>
      </c>
      <c r="C39" t="s">
        <v>73</v>
      </c>
      <c r="D39" s="2">
        <v>44947</v>
      </c>
      <c r="E39" s="2">
        <v>45139</v>
      </c>
      <c r="F39" t="s">
        <v>22</v>
      </c>
      <c r="G39" s="5">
        <v>7</v>
      </c>
      <c r="H39" s="5">
        <v>3</v>
      </c>
      <c r="I39" s="5">
        <v>252.63</v>
      </c>
      <c r="J39" s="5">
        <v>1768.4099999999999</v>
      </c>
      <c r="K39" t="s">
        <v>93</v>
      </c>
      <c r="L39" t="s">
        <v>68</v>
      </c>
      <c r="M39" t="b">
        <f t="shared" si="0"/>
        <v>1</v>
      </c>
    </row>
    <row r="40" spans="1:13" x14ac:dyDescent="0.35">
      <c r="A40">
        <v>39</v>
      </c>
      <c r="B40" t="s">
        <v>16</v>
      </c>
      <c r="C40" t="s">
        <v>73</v>
      </c>
      <c r="D40" s="2">
        <v>45159</v>
      </c>
      <c r="E40" s="2">
        <v>45259</v>
      </c>
      <c r="F40" t="s">
        <v>28</v>
      </c>
      <c r="G40" s="5">
        <v>9</v>
      </c>
      <c r="H40" s="5">
        <v>2</v>
      </c>
      <c r="I40" s="5">
        <v>450.03</v>
      </c>
      <c r="J40" s="5">
        <v>4050.2699999999995</v>
      </c>
      <c r="K40" t="s">
        <v>93</v>
      </c>
      <c r="L40">
        <v>1</v>
      </c>
      <c r="M40" t="b">
        <f t="shared" si="0"/>
        <v>1</v>
      </c>
    </row>
    <row r="41" spans="1:13" x14ac:dyDescent="0.35">
      <c r="A41">
        <v>40</v>
      </c>
      <c r="B41" t="s">
        <v>72</v>
      </c>
      <c r="C41" t="s">
        <v>84</v>
      </c>
      <c r="D41" s="2">
        <v>44947</v>
      </c>
      <c r="E41" s="2">
        <v>45172</v>
      </c>
      <c r="F41" t="s">
        <v>24</v>
      </c>
      <c r="G41" s="5">
        <v>2</v>
      </c>
      <c r="H41" s="5">
        <v>1</v>
      </c>
      <c r="I41" s="5">
        <v>120.39</v>
      </c>
      <c r="J41" s="5">
        <v>240.78</v>
      </c>
      <c r="K41" t="s">
        <v>96</v>
      </c>
      <c r="L41">
        <v>1</v>
      </c>
      <c r="M41" t="b">
        <f t="shared" si="0"/>
        <v>1</v>
      </c>
    </row>
    <row r="42" spans="1:13" x14ac:dyDescent="0.35">
      <c r="A42">
        <v>41</v>
      </c>
      <c r="B42" t="s">
        <v>16</v>
      </c>
      <c r="C42" t="s">
        <v>84</v>
      </c>
      <c r="D42" s="2">
        <v>45052</v>
      </c>
      <c r="E42" s="2">
        <v>45288</v>
      </c>
      <c r="F42" t="s">
        <v>64</v>
      </c>
      <c r="G42" s="5">
        <v>7</v>
      </c>
      <c r="H42" s="5">
        <v>2</v>
      </c>
      <c r="I42" s="5">
        <v>196.64</v>
      </c>
      <c r="J42" s="5">
        <v>1376.48</v>
      </c>
      <c r="K42" t="s">
        <v>93</v>
      </c>
      <c r="L42">
        <v>4</v>
      </c>
      <c r="M42" t="b">
        <f t="shared" si="0"/>
        <v>1</v>
      </c>
    </row>
    <row r="43" spans="1:13" x14ac:dyDescent="0.35">
      <c r="A43">
        <v>42</v>
      </c>
      <c r="B43" t="s">
        <v>33</v>
      </c>
      <c r="C43" t="s">
        <v>78</v>
      </c>
      <c r="D43" s="2">
        <v>45214</v>
      </c>
      <c r="E43" s="2">
        <v>45264</v>
      </c>
      <c r="F43" t="s">
        <v>22</v>
      </c>
      <c r="G43" s="5">
        <v>4</v>
      </c>
      <c r="H43" s="5">
        <v>1</v>
      </c>
      <c r="I43" s="5">
        <v>451.76</v>
      </c>
      <c r="J43" s="5">
        <v>1807.04</v>
      </c>
      <c r="K43" t="s">
        <v>93</v>
      </c>
      <c r="L43">
        <v>2</v>
      </c>
      <c r="M43" t="b">
        <f t="shared" si="0"/>
        <v>1</v>
      </c>
    </row>
    <row r="44" spans="1:13" x14ac:dyDescent="0.35">
      <c r="A44">
        <v>43</v>
      </c>
      <c r="B44" t="s">
        <v>76</v>
      </c>
      <c r="C44" t="s">
        <v>83</v>
      </c>
      <c r="D44" s="2">
        <v>45051</v>
      </c>
      <c r="E44" s="2">
        <v>45260</v>
      </c>
      <c r="F44" t="s">
        <v>22</v>
      </c>
      <c r="G44" s="5">
        <v>1</v>
      </c>
      <c r="H44" s="5">
        <v>1</v>
      </c>
      <c r="I44" s="5">
        <v>376.69</v>
      </c>
      <c r="J44" s="5">
        <v>376.69</v>
      </c>
      <c r="K44" t="s">
        <v>96</v>
      </c>
      <c r="L44">
        <v>2</v>
      </c>
      <c r="M44" t="b">
        <f t="shared" si="0"/>
        <v>1</v>
      </c>
    </row>
    <row r="45" spans="1:13" x14ac:dyDescent="0.35">
      <c r="A45">
        <v>44</v>
      </c>
      <c r="B45" t="s">
        <v>74</v>
      </c>
      <c r="C45" t="s">
        <v>84</v>
      </c>
      <c r="D45" s="2">
        <v>45055</v>
      </c>
      <c r="E45" s="2">
        <v>45266</v>
      </c>
      <c r="F45" t="s">
        <v>22</v>
      </c>
      <c r="G45" s="5">
        <v>3</v>
      </c>
      <c r="H45" s="5">
        <v>1</v>
      </c>
      <c r="I45" s="5">
        <v>225.84</v>
      </c>
      <c r="J45" s="5">
        <v>677.52</v>
      </c>
      <c r="K45" t="s">
        <v>93</v>
      </c>
      <c r="L45">
        <v>5</v>
      </c>
      <c r="M45" t="b">
        <f t="shared" si="0"/>
        <v>1</v>
      </c>
    </row>
    <row r="46" spans="1:13" x14ac:dyDescent="0.35">
      <c r="A46">
        <v>45</v>
      </c>
      <c r="B46" t="s">
        <v>75</v>
      </c>
      <c r="C46" t="s">
        <v>81</v>
      </c>
      <c r="D46" s="2">
        <v>45101</v>
      </c>
      <c r="E46" s="2">
        <v>45241</v>
      </c>
      <c r="F46" t="s">
        <v>19</v>
      </c>
      <c r="G46" s="5">
        <v>4</v>
      </c>
      <c r="H46" s="5">
        <v>3</v>
      </c>
      <c r="I46" s="5">
        <v>323.39999999999998</v>
      </c>
      <c r="J46" s="5">
        <v>1293.5999999999999</v>
      </c>
      <c r="K46" t="s">
        <v>93</v>
      </c>
      <c r="L46">
        <v>5</v>
      </c>
      <c r="M46" t="b">
        <f t="shared" si="0"/>
        <v>1</v>
      </c>
    </row>
    <row r="47" spans="1:13" x14ac:dyDescent="0.35">
      <c r="A47">
        <v>46</v>
      </c>
      <c r="B47" t="s">
        <v>74</v>
      </c>
      <c r="C47" t="s">
        <v>27</v>
      </c>
      <c r="D47" s="2">
        <v>45098</v>
      </c>
      <c r="E47" s="2">
        <v>45171</v>
      </c>
      <c r="F47" t="s">
        <v>39</v>
      </c>
      <c r="G47" s="5">
        <v>4</v>
      </c>
      <c r="H47" s="5">
        <v>2</v>
      </c>
      <c r="I47" s="5">
        <v>264.89</v>
      </c>
      <c r="J47" s="5">
        <v>1059.56</v>
      </c>
      <c r="K47" t="s">
        <v>96</v>
      </c>
      <c r="L47">
        <v>1</v>
      </c>
      <c r="M47" t="b">
        <f t="shared" si="0"/>
        <v>1</v>
      </c>
    </row>
    <row r="48" spans="1:13" x14ac:dyDescent="0.35">
      <c r="A48">
        <v>47</v>
      </c>
      <c r="B48" t="s">
        <v>12</v>
      </c>
      <c r="C48" t="s">
        <v>73</v>
      </c>
      <c r="D48" s="2">
        <v>44959</v>
      </c>
      <c r="E48" s="2">
        <v>45270</v>
      </c>
      <c r="F48" t="s">
        <v>64</v>
      </c>
      <c r="G48" s="5">
        <v>1</v>
      </c>
      <c r="H48" s="5">
        <v>1</v>
      </c>
      <c r="I48" s="5">
        <v>425.87</v>
      </c>
      <c r="J48" s="5">
        <v>425.87</v>
      </c>
      <c r="K48" t="s">
        <v>93</v>
      </c>
      <c r="L48" t="s">
        <v>68</v>
      </c>
      <c r="M48" t="b">
        <f t="shared" si="0"/>
        <v>1</v>
      </c>
    </row>
    <row r="49" spans="1:13" x14ac:dyDescent="0.35">
      <c r="A49">
        <v>48</v>
      </c>
      <c r="B49" t="s">
        <v>12</v>
      </c>
      <c r="C49" t="s">
        <v>73</v>
      </c>
      <c r="D49" s="2">
        <v>44942</v>
      </c>
      <c r="E49" s="2">
        <v>45218</v>
      </c>
      <c r="F49" t="s">
        <v>19</v>
      </c>
      <c r="G49" s="5">
        <v>5</v>
      </c>
      <c r="H49" s="5">
        <v>3</v>
      </c>
      <c r="I49" s="5">
        <v>242.09</v>
      </c>
      <c r="J49" s="5">
        <v>1210.45</v>
      </c>
      <c r="K49" t="s">
        <v>93</v>
      </c>
      <c r="L49">
        <v>3</v>
      </c>
      <c r="M49" t="b">
        <f t="shared" si="0"/>
        <v>1</v>
      </c>
    </row>
    <row r="50" spans="1:13" x14ac:dyDescent="0.35">
      <c r="A50">
        <v>49</v>
      </c>
      <c r="B50" t="s">
        <v>72</v>
      </c>
      <c r="C50" t="s">
        <v>79</v>
      </c>
      <c r="D50" s="2">
        <v>45067</v>
      </c>
      <c r="E50" s="2">
        <v>45263</v>
      </c>
      <c r="F50" t="s">
        <v>22</v>
      </c>
      <c r="G50" s="5">
        <v>6</v>
      </c>
      <c r="H50" s="5">
        <v>2</v>
      </c>
      <c r="I50" s="5">
        <v>142.9</v>
      </c>
      <c r="J50" s="5">
        <v>857.40000000000009</v>
      </c>
      <c r="K50" t="s">
        <v>93</v>
      </c>
      <c r="L50" t="s">
        <v>68</v>
      </c>
      <c r="M50" t="b">
        <f t="shared" si="0"/>
        <v>1</v>
      </c>
    </row>
    <row r="51" spans="1:13" x14ac:dyDescent="0.35">
      <c r="A51">
        <v>50</v>
      </c>
      <c r="B51" t="s">
        <v>75</v>
      </c>
      <c r="C51" t="s">
        <v>36</v>
      </c>
      <c r="D51" s="2">
        <v>45003</v>
      </c>
      <c r="E51" s="2">
        <v>45105</v>
      </c>
      <c r="F51" t="s">
        <v>19</v>
      </c>
      <c r="G51" s="5">
        <v>9</v>
      </c>
      <c r="H51" s="5">
        <v>2</v>
      </c>
      <c r="I51" s="5">
        <v>351.19</v>
      </c>
      <c r="J51" s="5">
        <v>3160.71</v>
      </c>
      <c r="K51" t="s">
        <v>96</v>
      </c>
      <c r="L51">
        <v>2</v>
      </c>
      <c r="M51" t="b">
        <f t="shared" si="0"/>
        <v>1</v>
      </c>
    </row>
    <row r="52" spans="1:13" x14ac:dyDescent="0.35">
      <c r="A52">
        <v>51</v>
      </c>
      <c r="B52" t="s">
        <v>38</v>
      </c>
      <c r="C52" t="s">
        <v>73</v>
      </c>
      <c r="D52" s="2">
        <v>44944</v>
      </c>
      <c r="E52" s="2">
        <v>45104</v>
      </c>
      <c r="F52" t="s">
        <v>22</v>
      </c>
      <c r="G52" s="5">
        <v>1</v>
      </c>
      <c r="H52" s="5">
        <v>3</v>
      </c>
      <c r="I52" s="5">
        <v>226.29</v>
      </c>
      <c r="J52" s="5">
        <v>226.29</v>
      </c>
      <c r="K52" t="s">
        <v>93</v>
      </c>
      <c r="L52" t="s">
        <v>68</v>
      </c>
      <c r="M52" t="b">
        <f t="shared" si="0"/>
        <v>1</v>
      </c>
    </row>
    <row r="53" spans="1:13" x14ac:dyDescent="0.35">
      <c r="A53">
        <v>52</v>
      </c>
      <c r="B53" t="s">
        <v>74</v>
      </c>
      <c r="C53" t="s">
        <v>78</v>
      </c>
      <c r="D53" s="2">
        <v>44999</v>
      </c>
      <c r="E53" s="2">
        <v>45074</v>
      </c>
      <c r="F53" t="s">
        <v>64</v>
      </c>
      <c r="G53" s="5">
        <v>1</v>
      </c>
      <c r="H53" s="5">
        <v>2</v>
      </c>
      <c r="I53" s="5">
        <v>52.86</v>
      </c>
      <c r="J53" s="5">
        <v>52.86</v>
      </c>
      <c r="K53" t="s">
        <v>93</v>
      </c>
      <c r="L53">
        <v>2</v>
      </c>
      <c r="M53" t="b">
        <f t="shared" si="0"/>
        <v>1</v>
      </c>
    </row>
    <row r="54" spans="1:13" x14ac:dyDescent="0.35">
      <c r="A54">
        <v>53</v>
      </c>
      <c r="B54" t="s">
        <v>71</v>
      </c>
      <c r="C54" t="s">
        <v>36</v>
      </c>
      <c r="D54" s="2">
        <v>45196</v>
      </c>
      <c r="E54" s="2">
        <v>45263</v>
      </c>
      <c r="F54" t="s">
        <v>22</v>
      </c>
      <c r="G54" s="5">
        <v>10</v>
      </c>
      <c r="H54" s="5">
        <v>3</v>
      </c>
      <c r="I54" s="5">
        <v>440.64</v>
      </c>
      <c r="J54" s="5">
        <v>4406.3999999999996</v>
      </c>
      <c r="K54" t="s">
        <v>96</v>
      </c>
      <c r="L54" t="s">
        <v>68</v>
      </c>
      <c r="M54" t="b">
        <f t="shared" si="0"/>
        <v>1</v>
      </c>
    </row>
    <row r="55" spans="1:13" x14ac:dyDescent="0.35">
      <c r="A55">
        <v>54</v>
      </c>
      <c r="B55" t="s">
        <v>75</v>
      </c>
      <c r="C55" t="s">
        <v>84</v>
      </c>
      <c r="D55" s="2">
        <v>45042</v>
      </c>
      <c r="E55" s="2">
        <v>45106</v>
      </c>
      <c r="F55" t="s">
        <v>24</v>
      </c>
      <c r="G55" s="5">
        <v>4</v>
      </c>
      <c r="H55" s="5">
        <v>3</v>
      </c>
      <c r="I55" s="5">
        <v>366.8</v>
      </c>
      <c r="J55" s="5">
        <v>1467.2</v>
      </c>
      <c r="K55" t="s">
        <v>93</v>
      </c>
      <c r="L55">
        <v>4</v>
      </c>
      <c r="M55" t="b">
        <f t="shared" si="0"/>
        <v>1</v>
      </c>
    </row>
    <row r="56" spans="1:13" x14ac:dyDescent="0.35">
      <c r="A56">
        <v>55</v>
      </c>
      <c r="B56" t="s">
        <v>73</v>
      </c>
      <c r="C56" t="s">
        <v>78</v>
      </c>
      <c r="D56" s="2">
        <v>45045</v>
      </c>
      <c r="E56" s="2">
        <v>45103</v>
      </c>
      <c r="F56" t="s">
        <v>22</v>
      </c>
      <c r="G56" s="5">
        <v>4</v>
      </c>
      <c r="H56" s="5">
        <v>4</v>
      </c>
      <c r="I56" s="5">
        <v>118.34</v>
      </c>
      <c r="J56" s="5">
        <v>473.36</v>
      </c>
      <c r="K56" t="s">
        <v>93</v>
      </c>
      <c r="L56">
        <v>3</v>
      </c>
      <c r="M56" t="b">
        <f t="shared" si="0"/>
        <v>1</v>
      </c>
    </row>
    <row r="57" spans="1:13" x14ac:dyDescent="0.35">
      <c r="A57">
        <v>56</v>
      </c>
      <c r="B57" t="s">
        <v>16</v>
      </c>
      <c r="C57" t="s">
        <v>82</v>
      </c>
      <c r="D57" s="2">
        <v>45023</v>
      </c>
      <c r="E57" s="2">
        <v>45130</v>
      </c>
      <c r="F57" t="s">
        <v>22</v>
      </c>
      <c r="G57" s="5">
        <v>4</v>
      </c>
      <c r="H57" s="5">
        <v>1</v>
      </c>
      <c r="I57" s="5">
        <v>238.35</v>
      </c>
      <c r="J57" s="5">
        <v>953.4</v>
      </c>
      <c r="K57" t="s">
        <v>96</v>
      </c>
      <c r="L57" t="s">
        <v>68</v>
      </c>
      <c r="M57" t="b">
        <f t="shared" si="0"/>
        <v>1</v>
      </c>
    </row>
    <row r="58" spans="1:13" x14ac:dyDescent="0.35">
      <c r="A58">
        <v>57</v>
      </c>
      <c r="B58" t="s">
        <v>72</v>
      </c>
      <c r="C58" t="s">
        <v>80</v>
      </c>
      <c r="D58" s="2">
        <v>45177</v>
      </c>
      <c r="E58" s="2">
        <v>45205</v>
      </c>
      <c r="F58" t="s">
        <v>64</v>
      </c>
      <c r="G58" s="5">
        <v>6</v>
      </c>
      <c r="H58" s="5">
        <v>2</v>
      </c>
      <c r="I58" s="5">
        <v>58.79</v>
      </c>
      <c r="J58" s="5">
        <v>352.74</v>
      </c>
      <c r="K58" t="s">
        <v>93</v>
      </c>
      <c r="L58">
        <v>4</v>
      </c>
      <c r="M58" t="b">
        <f t="shared" si="0"/>
        <v>1</v>
      </c>
    </row>
    <row r="59" spans="1:13" x14ac:dyDescent="0.35">
      <c r="A59">
        <v>58</v>
      </c>
      <c r="B59" t="s">
        <v>33</v>
      </c>
      <c r="C59" t="s">
        <v>79</v>
      </c>
      <c r="D59" s="2">
        <v>45048</v>
      </c>
      <c r="E59" s="2">
        <v>45050</v>
      </c>
      <c r="F59" t="s">
        <v>19</v>
      </c>
      <c r="G59" s="5">
        <v>4</v>
      </c>
      <c r="H59" s="5">
        <v>2</v>
      </c>
      <c r="I59" s="5">
        <v>491.83</v>
      </c>
      <c r="J59" s="5">
        <v>1967.32</v>
      </c>
      <c r="K59" t="s">
        <v>93</v>
      </c>
      <c r="L59">
        <v>3</v>
      </c>
      <c r="M59" t="b">
        <f t="shared" si="0"/>
        <v>1</v>
      </c>
    </row>
    <row r="60" spans="1:13" x14ac:dyDescent="0.35">
      <c r="A60">
        <v>59</v>
      </c>
      <c r="B60" t="s">
        <v>16</v>
      </c>
      <c r="C60" t="s">
        <v>78</v>
      </c>
      <c r="D60" s="2">
        <v>45091</v>
      </c>
      <c r="E60" s="2">
        <v>45117</v>
      </c>
      <c r="F60" t="s">
        <v>19</v>
      </c>
      <c r="G60" s="5">
        <v>6</v>
      </c>
      <c r="H60" s="5">
        <v>4</v>
      </c>
      <c r="I60" s="5">
        <v>407.16</v>
      </c>
      <c r="J60" s="5">
        <v>2442.96</v>
      </c>
      <c r="K60" t="s">
        <v>96</v>
      </c>
      <c r="L60">
        <v>3</v>
      </c>
      <c r="M60" t="b">
        <f t="shared" si="0"/>
        <v>1</v>
      </c>
    </row>
    <row r="61" spans="1:13" x14ac:dyDescent="0.35">
      <c r="A61">
        <v>60</v>
      </c>
      <c r="B61" t="s">
        <v>12</v>
      </c>
      <c r="C61" t="s">
        <v>36</v>
      </c>
      <c r="D61" s="2">
        <v>45022</v>
      </c>
      <c r="E61" s="2">
        <v>45242</v>
      </c>
      <c r="F61" t="s">
        <v>28</v>
      </c>
      <c r="G61" s="5">
        <v>4</v>
      </c>
      <c r="H61" s="5">
        <v>1</v>
      </c>
      <c r="I61" s="5">
        <v>412.46</v>
      </c>
      <c r="J61" s="5">
        <v>1649.84</v>
      </c>
      <c r="K61" t="s">
        <v>93</v>
      </c>
      <c r="L61">
        <v>2</v>
      </c>
      <c r="M61" t="b">
        <f t="shared" si="0"/>
        <v>1</v>
      </c>
    </row>
  </sheetData>
  <conditionalFormatting sqref="A1:A1048576">
    <cfRule type="duplicateValues" dxfId="0" priority="1"/>
  </conditionalFormatting>
  <dataValidations count="1">
    <dataValidation type="list" allowBlank="1" showInputMessage="1" showErrorMessage="1" sqref="K1:K1048576" xr:uid="{335D3277-3BA6-493D-B48A-D6B69B8970F1}">
      <formula1>"Paid,Pending"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EA53-10C4-45EA-A6E7-09414E4C3307}">
  <dimension ref="A1:M61"/>
  <sheetViews>
    <sheetView zoomScale="96" zoomScaleNormal="96" workbookViewId="0">
      <selection activeCell="K3" sqref="K3"/>
    </sheetView>
  </sheetViews>
  <sheetFormatPr defaultRowHeight="14.5" x14ac:dyDescent="0.35"/>
  <cols>
    <col min="1" max="1" width="11.36328125" customWidth="1"/>
    <col min="2" max="2" width="13.54296875" customWidth="1"/>
    <col min="3" max="3" width="12.36328125" customWidth="1"/>
    <col min="4" max="4" width="16" customWidth="1"/>
    <col min="5" max="5" width="16.81640625" customWidth="1"/>
    <col min="6" max="6" width="16.90625" customWidth="1"/>
    <col min="7" max="8" width="8.7265625" style="5"/>
    <col min="9" max="9" width="18.1796875" style="5" customWidth="1"/>
    <col min="10" max="10" width="17.6328125" style="5" customWidth="1"/>
    <col min="11" max="11" width="16" customWidth="1"/>
  </cols>
  <sheetData>
    <row r="1" spans="1:13" ht="16.5" thickBot="1" x14ac:dyDescent="0.45">
      <c r="A1" s="3" t="s">
        <v>70</v>
      </c>
      <c r="B1" s="3" t="s">
        <v>77</v>
      </c>
      <c r="C1" s="3" t="s">
        <v>92</v>
      </c>
      <c r="D1" s="3" t="s">
        <v>94</v>
      </c>
      <c r="E1" s="3" t="s">
        <v>95</v>
      </c>
      <c r="F1" s="3" t="s">
        <v>85</v>
      </c>
      <c r="G1" s="4" t="s">
        <v>86</v>
      </c>
      <c r="H1" s="4" t="s">
        <v>87</v>
      </c>
      <c r="I1" s="4" t="s">
        <v>88</v>
      </c>
      <c r="J1" s="4" t="s">
        <v>89</v>
      </c>
      <c r="K1" s="3" t="s">
        <v>90</v>
      </c>
      <c r="L1" s="3" t="s">
        <v>91</v>
      </c>
    </row>
    <row r="2" spans="1:13" ht="15" thickTop="1" x14ac:dyDescent="0.35">
      <c r="A2">
        <v>1</v>
      </c>
      <c r="B2" t="s">
        <v>12</v>
      </c>
      <c r="C2" t="s">
        <v>78</v>
      </c>
      <c r="D2" s="2">
        <v>44947</v>
      </c>
      <c r="E2" s="2">
        <v>45160</v>
      </c>
      <c r="F2" t="s">
        <v>64</v>
      </c>
      <c r="G2" s="5">
        <v>2</v>
      </c>
      <c r="H2" s="5">
        <v>3</v>
      </c>
      <c r="I2" s="5">
        <v>121.74</v>
      </c>
      <c r="J2" s="5">
        <v>243.48</v>
      </c>
      <c r="K2" t="s">
        <v>93</v>
      </c>
      <c r="L2" t="s">
        <v>68</v>
      </c>
      <c r="M2" t="b">
        <f>E2&gt;D2</f>
        <v>1</v>
      </c>
    </row>
    <row r="3" spans="1:13" x14ac:dyDescent="0.35">
      <c r="A3">
        <v>2</v>
      </c>
      <c r="B3" t="s">
        <v>16</v>
      </c>
      <c r="C3" t="s">
        <v>79</v>
      </c>
      <c r="D3" s="2">
        <v>45004</v>
      </c>
      <c r="E3" s="2">
        <v>45174</v>
      </c>
      <c r="F3" t="s">
        <v>19</v>
      </c>
      <c r="G3" s="5">
        <v>10</v>
      </c>
      <c r="H3" s="5">
        <v>1</v>
      </c>
      <c r="I3" s="5">
        <v>262.10000000000002</v>
      </c>
      <c r="J3" s="5">
        <v>2621</v>
      </c>
      <c r="K3" t="s">
        <v>96</v>
      </c>
      <c r="L3" t="s">
        <v>68</v>
      </c>
      <c r="M3" t="b">
        <f t="shared" ref="M3:M61" si="0">E3&gt;D3</f>
        <v>1</v>
      </c>
    </row>
    <row r="4" spans="1:13" x14ac:dyDescent="0.35">
      <c r="A4">
        <v>3</v>
      </c>
      <c r="B4" t="s">
        <v>71</v>
      </c>
      <c r="C4" t="s">
        <v>21</v>
      </c>
      <c r="D4" s="2">
        <v>44975</v>
      </c>
      <c r="E4" s="2">
        <v>45017</v>
      </c>
      <c r="F4" t="s">
        <v>22</v>
      </c>
      <c r="G4" s="5">
        <v>4</v>
      </c>
      <c r="H4" s="5">
        <v>2</v>
      </c>
      <c r="I4" s="5">
        <v>288.16000000000003</v>
      </c>
      <c r="J4" s="5">
        <v>1152.6400000000001</v>
      </c>
      <c r="K4" t="s">
        <v>93</v>
      </c>
      <c r="L4">
        <v>1</v>
      </c>
      <c r="M4" t="b">
        <f t="shared" si="0"/>
        <v>1</v>
      </c>
    </row>
    <row r="5" spans="1:13" x14ac:dyDescent="0.35">
      <c r="A5">
        <v>4</v>
      </c>
      <c r="B5" t="s">
        <v>71</v>
      </c>
      <c r="C5" t="s">
        <v>79</v>
      </c>
      <c r="D5" s="2">
        <v>45242</v>
      </c>
      <c r="E5" s="2">
        <v>45248</v>
      </c>
      <c r="F5" t="s">
        <v>24</v>
      </c>
      <c r="G5" s="5">
        <v>4</v>
      </c>
      <c r="H5" s="5">
        <v>4</v>
      </c>
      <c r="I5" s="5">
        <v>273.20999999999998</v>
      </c>
      <c r="J5" s="5">
        <v>1092.8399999999999</v>
      </c>
      <c r="K5" t="s">
        <v>93</v>
      </c>
      <c r="L5">
        <v>1</v>
      </c>
      <c r="M5" t="b">
        <f t="shared" si="0"/>
        <v>1</v>
      </c>
    </row>
    <row r="6" spans="1:13" x14ac:dyDescent="0.35">
      <c r="A6">
        <v>5</v>
      </c>
      <c r="B6" t="s">
        <v>72</v>
      </c>
      <c r="C6" t="s">
        <v>21</v>
      </c>
      <c r="D6" s="2">
        <v>45080</v>
      </c>
      <c r="E6" s="2">
        <v>45147</v>
      </c>
      <c r="F6" t="s">
        <v>22</v>
      </c>
      <c r="G6" s="5">
        <v>4</v>
      </c>
      <c r="H6" s="5">
        <v>3</v>
      </c>
      <c r="I6" s="5">
        <v>153.28</v>
      </c>
      <c r="J6" s="5">
        <v>613.12</v>
      </c>
      <c r="K6" t="s">
        <v>96</v>
      </c>
      <c r="L6">
        <v>5</v>
      </c>
      <c r="M6" t="b">
        <f t="shared" si="0"/>
        <v>1</v>
      </c>
    </row>
    <row r="7" spans="1:13" x14ac:dyDescent="0.35">
      <c r="A7">
        <v>6</v>
      </c>
      <c r="B7" t="s">
        <v>73</v>
      </c>
      <c r="C7" t="s">
        <v>21</v>
      </c>
      <c r="D7" s="2">
        <v>44971</v>
      </c>
      <c r="E7" s="2">
        <v>45197</v>
      </c>
      <c r="F7" t="s">
        <v>24</v>
      </c>
      <c r="G7" s="5">
        <v>1</v>
      </c>
      <c r="H7" s="5">
        <v>2</v>
      </c>
      <c r="I7" s="5">
        <v>189.93</v>
      </c>
      <c r="J7" s="5">
        <v>189.93</v>
      </c>
      <c r="K7" t="s">
        <v>93</v>
      </c>
      <c r="L7">
        <v>1</v>
      </c>
      <c r="M7" t="b">
        <f t="shared" si="0"/>
        <v>1</v>
      </c>
    </row>
    <row r="8" spans="1:13" x14ac:dyDescent="0.35">
      <c r="A8">
        <v>7</v>
      </c>
      <c r="B8" t="s">
        <v>71</v>
      </c>
      <c r="C8" t="s">
        <v>27</v>
      </c>
      <c r="D8" s="2">
        <v>44980</v>
      </c>
      <c r="E8" s="2">
        <v>45045</v>
      </c>
      <c r="F8" t="s">
        <v>28</v>
      </c>
      <c r="G8" s="5">
        <v>6</v>
      </c>
      <c r="H8" s="5">
        <v>4</v>
      </c>
      <c r="I8" s="5">
        <v>224.52</v>
      </c>
      <c r="J8" s="5">
        <v>1347.1200000000001</v>
      </c>
      <c r="K8" t="s">
        <v>93</v>
      </c>
      <c r="L8" t="s">
        <v>68</v>
      </c>
      <c r="M8" t="b">
        <f t="shared" si="0"/>
        <v>1</v>
      </c>
    </row>
    <row r="9" spans="1:13" x14ac:dyDescent="0.35">
      <c r="A9">
        <v>8</v>
      </c>
      <c r="B9" t="s">
        <v>73</v>
      </c>
      <c r="C9" t="s">
        <v>73</v>
      </c>
      <c r="D9" s="2">
        <v>45165</v>
      </c>
      <c r="E9" s="2">
        <v>45225</v>
      </c>
      <c r="F9" t="s">
        <v>28</v>
      </c>
      <c r="G9" s="5">
        <v>1</v>
      </c>
      <c r="H9" s="5">
        <v>2</v>
      </c>
      <c r="I9" s="5">
        <v>193.12</v>
      </c>
      <c r="J9" s="5">
        <v>193.12</v>
      </c>
      <c r="K9" t="s">
        <v>96</v>
      </c>
      <c r="L9">
        <v>3</v>
      </c>
      <c r="M9" t="b">
        <f t="shared" si="0"/>
        <v>1</v>
      </c>
    </row>
    <row r="10" spans="1:13" x14ac:dyDescent="0.35">
      <c r="A10">
        <v>9</v>
      </c>
      <c r="B10" t="s">
        <v>72</v>
      </c>
      <c r="C10" t="s">
        <v>80</v>
      </c>
      <c r="D10" s="2">
        <v>45051</v>
      </c>
      <c r="E10" s="2">
        <v>45144</v>
      </c>
      <c r="F10" t="s">
        <v>19</v>
      </c>
      <c r="G10" s="5">
        <v>1</v>
      </c>
      <c r="H10" s="5">
        <v>2</v>
      </c>
      <c r="I10" s="5">
        <v>252.69</v>
      </c>
      <c r="J10" s="5">
        <v>252.69</v>
      </c>
      <c r="K10" t="s">
        <v>93</v>
      </c>
      <c r="L10">
        <v>2</v>
      </c>
      <c r="M10" t="b">
        <f t="shared" si="0"/>
        <v>1</v>
      </c>
    </row>
    <row r="11" spans="1:13" x14ac:dyDescent="0.35">
      <c r="A11">
        <v>10</v>
      </c>
      <c r="B11" t="s">
        <v>74</v>
      </c>
      <c r="C11" t="s">
        <v>21</v>
      </c>
      <c r="D11" s="2">
        <v>44993</v>
      </c>
      <c r="E11" s="2">
        <v>45267</v>
      </c>
      <c r="F11" t="s">
        <v>19</v>
      </c>
      <c r="G11" s="5">
        <v>4</v>
      </c>
      <c r="H11" s="5">
        <v>4</v>
      </c>
      <c r="I11" s="5">
        <v>234.9</v>
      </c>
      <c r="J11" s="5">
        <v>939.6</v>
      </c>
      <c r="K11" t="s">
        <v>93</v>
      </c>
      <c r="L11">
        <v>4</v>
      </c>
      <c r="M11" t="b">
        <f t="shared" si="0"/>
        <v>1</v>
      </c>
    </row>
    <row r="12" spans="1:13" x14ac:dyDescent="0.35">
      <c r="A12">
        <v>11</v>
      </c>
      <c r="B12" t="s">
        <v>73</v>
      </c>
      <c r="C12" t="s">
        <v>81</v>
      </c>
      <c r="D12" s="2">
        <v>45128</v>
      </c>
      <c r="E12" s="2">
        <v>45251</v>
      </c>
      <c r="F12" t="s">
        <v>19</v>
      </c>
      <c r="G12" s="5">
        <v>9</v>
      </c>
      <c r="H12" s="5">
        <v>2</v>
      </c>
      <c r="I12" s="5">
        <v>463.33</v>
      </c>
      <c r="J12" s="5">
        <v>4169.97</v>
      </c>
      <c r="K12" t="s">
        <v>96</v>
      </c>
      <c r="L12">
        <v>5</v>
      </c>
      <c r="M12" t="b">
        <f t="shared" si="0"/>
        <v>1</v>
      </c>
    </row>
    <row r="13" spans="1:13" x14ac:dyDescent="0.35">
      <c r="A13">
        <v>12</v>
      </c>
      <c r="B13" t="s">
        <v>33</v>
      </c>
      <c r="C13" t="s">
        <v>82</v>
      </c>
      <c r="D13" s="2">
        <v>44985</v>
      </c>
      <c r="E13" s="2">
        <v>45225</v>
      </c>
      <c r="F13" t="s">
        <v>28</v>
      </c>
      <c r="G13" s="5">
        <v>2</v>
      </c>
      <c r="H13" s="5">
        <v>4</v>
      </c>
      <c r="I13" s="5">
        <v>290.26</v>
      </c>
      <c r="J13" s="5">
        <v>580.52</v>
      </c>
      <c r="K13" t="s">
        <v>93</v>
      </c>
      <c r="L13">
        <v>5</v>
      </c>
      <c r="M13" t="b">
        <f t="shared" si="0"/>
        <v>1</v>
      </c>
    </row>
    <row r="14" spans="1:13" x14ac:dyDescent="0.35">
      <c r="A14">
        <v>13</v>
      </c>
      <c r="B14" t="s">
        <v>71</v>
      </c>
      <c r="C14" t="s">
        <v>81</v>
      </c>
      <c r="D14" s="2">
        <v>45002</v>
      </c>
      <c r="E14" s="2">
        <v>45107</v>
      </c>
      <c r="F14" t="s">
        <v>64</v>
      </c>
      <c r="G14" s="5">
        <v>10</v>
      </c>
      <c r="H14" s="5">
        <v>1</v>
      </c>
      <c r="I14" s="5">
        <v>149.19</v>
      </c>
      <c r="J14" s="5">
        <v>1491.9</v>
      </c>
      <c r="K14" t="s">
        <v>93</v>
      </c>
      <c r="L14">
        <v>3</v>
      </c>
      <c r="M14" t="b">
        <f t="shared" si="0"/>
        <v>1</v>
      </c>
    </row>
    <row r="15" spans="1:13" x14ac:dyDescent="0.35">
      <c r="A15">
        <v>14</v>
      </c>
      <c r="B15" t="s">
        <v>73</v>
      </c>
      <c r="C15" t="s">
        <v>36</v>
      </c>
      <c r="D15" s="2">
        <v>44995</v>
      </c>
      <c r="E15" s="2">
        <v>45120</v>
      </c>
      <c r="F15" t="s">
        <v>22</v>
      </c>
      <c r="G15" s="5">
        <v>8</v>
      </c>
      <c r="H15" s="5">
        <v>2</v>
      </c>
      <c r="I15" s="5">
        <v>199.65</v>
      </c>
      <c r="J15" s="5">
        <v>1597.2</v>
      </c>
      <c r="K15" t="s">
        <v>96</v>
      </c>
      <c r="L15">
        <v>5</v>
      </c>
      <c r="M15" t="b">
        <f t="shared" si="0"/>
        <v>1</v>
      </c>
    </row>
    <row r="16" spans="1:13" x14ac:dyDescent="0.35">
      <c r="A16">
        <v>15</v>
      </c>
      <c r="B16" t="s">
        <v>38</v>
      </c>
      <c r="C16" t="s">
        <v>73</v>
      </c>
      <c r="D16" s="2">
        <v>44938</v>
      </c>
      <c r="E16" s="2">
        <v>45191</v>
      </c>
      <c r="F16" t="s">
        <v>39</v>
      </c>
      <c r="G16" s="5">
        <v>6</v>
      </c>
      <c r="H16" s="5">
        <v>1</v>
      </c>
      <c r="I16" s="5">
        <v>261.08999999999997</v>
      </c>
      <c r="J16" s="5">
        <v>1566.54</v>
      </c>
      <c r="K16" t="s">
        <v>93</v>
      </c>
      <c r="L16">
        <v>5</v>
      </c>
      <c r="M16" t="b">
        <f t="shared" si="0"/>
        <v>1</v>
      </c>
    </row>
    <row r="17" spans="1:13" x14ac:dyDescent="0.35">
      <c r="A17">
        <v>16</v>
      </c>
      <c r="B17" t="s">
        <v>71</v>
      </c>
      <c r="C17" t="s">
        <v>82</v>
      </c>
      <c r="D17" s="2">
        <v>44992</v>
      </c>
      <c r="E17" s="2">
        <v>45120</v>
      </c>
      <c r="F17" t="s">
        <v>64</v>
      </c>
      <c r="G17" s="5">
        <v>2</v>
      </c>
      <c r="H17" s="5">
        <v>1</v>
      </c>
      <c r="I17" s="5">
        <v>200.49</v>
      </c>
      <c r="J17" s="5">
        <v>400.98</v>
      </c>
      <c r="K17" t="s">
        <v>93</v>
      </c>
      <c r="L17">
        <v>2</v>
      </c>
      <c r="M17" t="b">
        <f t="shared" si="0"/>
        <v>1</v>
      </c>
    </row>
    <row r="18" spans="1:13" x14ac:dyDescent="0.35">
      <c r="A18">
        <v>17</v>
      </c>
      <c r="B18" t="s">
        <v>71</v>
      </c>
      <c r="C18" t="s">
        <v>36</v>
      </c>
      <c r="D18" s="2">
        <v>44945</v>
      </c>
      <c r="E18" s="2">
        <v>45260</v>
      </c>
      <c r="F18" t="s">
        <v>28</v>
      </c>
      <c r="G18" s="5">
        <v>6</v>
      </c>
      <c r="H18" s="5">
        <v>2</v>
      </c>
      <c r="I18" s="5">
        <v>300.08</v>
      </c>
      <c r="J18" s="5">
        <v>1800.48</v>
      </c>
      <c r="K18" t="s">
        <v>93</v>
      </c>
      <c r="L18">
        <v>4</v>
      </c>
      <c r="M18" t="b">
        <f t="shared" si="0"/>
        <v>1</v>
      </c>
    </row>
    <row r="19" spans="1:13" x14ac:dyDescent="0.35">
      <c r="A19">
        <v>18</v>
      </c>
      <c r="B19" t="s">
        <v>74</v>
      </c>
      <c r="C19" t="s">
        <v>81</v>
      </c>
      <c r="D19" s="2">
        <v>44966</v>
      </c>
      <c r="E19" s="2">
        <v>45115</v>
      </c>
      <c r="F19" t="s">
        <v>24</v>
      </c>
      <c r="G19" s="5">
        <v>8</v>
      </c>
      <c r="H19" s="5">
        <v>4</v>
      </c>
      <c r="I19" s="5">
        <v>465.92</v>
      </c>
      <c r="J19" s="5">
        <v>3727.36</v>
      </c>
      <c r="K19" t="s">
        <v>96</v>
      </c>
      <c r="L19" t="s">
        <v>68</v>
      </c>
      <c r="M19" t="b">
        <f t="shared" si="0"/>
        <v>1</v>
      </c>
    </row>
    <row r="20" spans="1:13" x14ac:dyDescent="0.35">
      <c r="A20">
        <v>19</v>
      </c>
      <c r="B20" t="s">
        <v>73</v>
      </c>
      <c r="C20" t="s">
        <v>80</v>
      </c>
      <c r="D20" s="2">
        <v>45029</v>
      </c>
      <c r="E20" s="2">
        <v>45097</v>
      </c>
      <c r="F20" t="s">
        <v>28</v>
      </c>
      <c r="G20" s="5">
        <v>4</v>
      </c>
      <c r="H20" s="5">
        <v>3</v>
      </c>
      <c r="I20" s="5">
        <v>241.42</v>
      </c>
      <c r="J20" s="5">
        <v>965.68</v>
      </c>
      <c r="K20" t="s">
        <v>93</v>
      </c>
      <c r="L20">
        <v>4</v>
      </c>
      <c r="M20" t="b">
        <f t="shared" si="0"/>
        <v>1</v>
      </c>
    </row>
    <row r="21" spans="1:13" x14ac:dyDescent="0.35">
      <c r="A21">
        <v>20</v>
      </c>
      <c r="B21" t="s">
        <v>16</v>
      </c>
      <c r="C21" t="s">
        <v>36</v>
      </c>
      <c r="D21" s="2">
        <v>44994</v>
      </c>
      <c r="E21" s="2">
        <v>45005</v>
      </c>
      <c r="F21" t="s">
        <v>28</v>
      </c>
      <c r="G21" s="5">
        <v>3</v>
      </c>
      <c r="H21" s="5">
        <v>3</v>
      </c>
      <c r="I21" s="5">
        <v>453.19</v>
      </c>
      <c r="J21" s="5">
        <v>1359.57</v>
      </c>
      <c r="K21" t="s">
        <v>93</v>
      </c>
      <c r="L21" t="s">
        <v>68</v>
      </c>
      <c r="M21" t="b">
        <f t="shared" si="0"/>
        <v>1</v>
      </c>
    </row>
    <row r="22" spans="1:13" x14ac:dyDescent="0.35">
      <c r="A22">
        <v>21</v>
      </c>
      <c r="B22" t="s">
        <v>16</v>
      </c>
      <c r="C22" t="s">
        <v>80</v>
      </c>
      <c r="D22" s="2">
        <v>45157</v>
      </c>
      <c r="E22" s="2">
        <v>45274</v>
      </c>
      <c r="F22" t="s">
        <v>28</v>
      </c>
      <c r="G22" s="5">
        <v>4</v>
      </c>
      <c r="H22" s="5">
        <v>1</v>
      </c>
      <c r="I22" s="5">
        <v>67.98</v>
      </c>
      <c r="J22" s="5">
        <v>271.92</v>
      </c>
      <c r="K22" t="s">
        <v>96</v>
      </c>
      <c r="L22">
        <v>3</v>
      </c>
      <c r="M22" t="b">
        <f t="shared" si="0"/>
        <v>1</v>
      </c>
    </row>
    <row r="23" spans="1:13" x14ac:dyDescent="0.35">
      <c r="A23">
        <v>22</v>
      </c>
      <c r="B23" t="s">
        <v>75</v>
      </c>
      <c r="C23" t="s">
        <v>82</v>
      </c>
      <c r="D23" s="2">
        <v>45090</v>
      </c>
      <c r="E23" s="2">
        <v>45155</v>
      </c>
      <c r="F23" t="s">
        <v>28</v>
      </c>
      <c r="G23" s="5">
        <v>10</v>
      </c>
      <c r="H23" s="5">
        <v>1</v>
      </c>
      <c r="I23" s="5">
        <v>333.38</v>
      </c>
      <c r="J23" s="5">
        <v>3333.8</v>
      </c>
      <c r="K23" t="s">
        <v>93</v>
      </c>
      <c r="L23" t="s">
        <v>68</v>
      </c>
      <c r="M23" t="b">
        <f t="shared" si="0"/>
        <v>1</v>
      </c>
    </row>
    <row r="24" spans="1:13" x14ac:dyDescent="0.35">
      <c r="A24">
        <v>23</v>
      </c>
      <c r="B24" t="s">
        <v>71</v>
      </c>
      <c r="C24" t="s">
        <v>81</v>
      </c>
      <c r="D24" s="2">
        <v>44971</v>
      </c>
      <c r="E24" s="2">
        <v>45120</v>
      </c>
      <c r="F24" t="s">
        <v>19</v>
      </c>
      <c r="G24" s="5">
        <v>3</v>
      </c>
      <c r="H24" s="5">
        <v>2</v>
      </c>
      <c r="I24" s="5">
        <v>228.6</v>
      </c>
      <c r="J24" s="5">
        <v>685.8</v>
      </c>
      <c r="K24" t="s">
        <v>93</v>
      </c>
      <c r="L24" t="s">
        <v>68</v>
      </c>
      <c r="M24" t="b">
        <f t="shared" si="0"/>
        <v>1</v>
      </c>
    </row>
    <row r="25" spans="1:13" x14ac:dyDescent="0.35">
      <c r="A25">
        <v>24</v>
      </c>
      <c r="B25" t="s">
        <v>72</v>
      </c>
      <c r="C25" t="s">
        <v>83</v>
      </c>
      <c r="D25" s="2">
        <v>44958</v>
      </c>
      <c r="E25" s="2">
        <v>45227</v>
      </c>
      <c r="F25" t="s">
        <v>64</v>
      </c>
      <c r="G25" s="5">
        <v>4</v>
      </c>
      <c r="H25" s="5">
        <v>4</v>
      </c>
      <c r="I25" s="5">
        <v>362.87</v>
      </c>
      <c r="J25" s="5">
        <v>1451.48</v>
      </c>
      <c r="K25" t="s">
        <v>96</v>
      </c>
      <c r="L25">
        <v>5</v>
      </c>
      <c r="M25" t="b">
        <f t="shared" si="0"/>
        <v>1</v>
      </c>
    </row>
    <row r="26" spans="1:13" x14ac:dyDescent="0.35">
      <c r="A26">
        <v>25</v>
      </c>
      <c r="B26" t="s">
        <v>47</v>
      </c>
      <c r="C26" t="s">
        <v>78</v>
      </c>
      <c r="D26" s="2">
        <v>44965</v>
      </c>
      <c r="E26" s="2">
        <v>45162</v>
      </c>
      <c r="F26" t="s">
        <v>64</v>
      </c>
      <c r="G26" s="5">
        <v>4</v>
      </c>
      <c r="H26" s="5">
        <v>3</v>
      </c>
      <c r="I26" s="5">
        <v>296.64999999999998</v>
      </c>
      <c r="J26" s="5">
        <v>1186.5999999999999</v>
      </c>
      <c r="K26" t="s">
        <v>93</v>
      </c>
      <c r="L26">
        <v>1</v>
      </c>
      <c r="M26" t="b">
        <f t="shared" si="0"/>
        <v>1</v>
      </c>
    </row>
    <row r="27" spans="1:13" x14ac:dyDescent="0.35">
      <c r="A27">
        <v>26</v>
      </c>
      <c r="B27" t="s">
        <v>76</v>
      </c>
      <c r="C27" t="s">
        <v>83</v>
      </c>
      <c r="D27" s="2">
        <v>44966</v>
      </c>
      <c r="E27" s="2">
        <v>45099</v>
      </c>
      <c r="F27" t="s">
        <v>24</v>
      </c>
      <c r="G27" s="5">
        <v>4</v>
      </c>
      <c r="H27" s="5">
        <v>2</v>
      </c>
      <c r="I27" s="5">
        <v>229.57</v>
      </c>
      <c r="J27" s="5">
        <v>918.28</v>
      </c>
      <c r="K27" t="s">
        <v>93</v>
      </c>
      <c r="L27" t="s">
        <v>68</v>
      </c>
      <c r="M27" t="b">
        <f t="shared" si="0"/>
        <v>1</v>
      </c>
    </row>
    <row r="28" spans="1:13" x14ac:dyDescent="0.35">
      <c r="A28">
        <v>27</v>
      </c>
      <c r="B28" t="s">
        <v>74</v>
      </c>
      <c r="C28" t="s">
        <v>73</v>
      </c>
      <c r="D28" s="2">
        <v>45206</v>
      </c>
      <c r="E28" s="2">
        <v>45245</v>
      </c>
      <c r="F28" t="s">
        <v>19</v>
      </c>
      <c r="G28" s="5">
        <v>4</v>
      </c>
      <c r="H28" s="5">
        <v>3</v>
      </c>
      <c r="I28" s="5">
        <v>206.26</v>
      </c>
      <c r="J28" s="5">
        <v>825.04</v>
      </c>
      <c r="K28" t="s">
        <v>96</v>
      </c>
      <c r="L28">
        <v>2</v>
      </c>
      <c r="M28" t="b">
        <f t="shared" si="0"/>
        <v>1</v>
      </c>
    </row>
    <row r="29" spans="1:13" x14ac:dyDescent="0.35">
      <c r="A29">
        <v>28</v>
      </c>
      <c r="B29" t="s">
        <v>16</v>
      </c>
      <c r="C29" t="s">
        <v>27</v>
      </c>
      <c r="D29" s="2">
        <v>44944</v>
      </c>
      <c r="E29" s="2">
        <v>45063</v>
      </c>
      <c r="F29" t="s">
        <v>22</v>
      </c>
      <c r="G29" s="5">
        <v>7</v>
      </c>
      <c r="H29" s="5">
        <v>4</v>
      </c>
      <c r="I29" s="5">
        <v>351.99</v>
      </c>
      <c r="J29" s="5">
        <v>2463.9300000000003</v>
      </c>
      <c r="K29" t="s">
        <v>93</v>
      </c>
      <c r="L29">
        <v>3</v>
      </c>
      <c r="M29" t="b">
        <f t="shared" si="0"/>
        <v>1</v>
      </c>
    </row>
    <row r="30" spans="1:13" x14ac:dyDescent="0.35">
      <c r="A30">
        <v>29</v>
      </c>
      <c r="B30" t="s">
        <v>74</v>
      </c>
      <c r="C30" t="s">
        <v>73</v>
      </c>
      <c r="D30" s="2">
        <v>44955</v>
      </c>
      <c r="E30" s="2">
        <v>45010</v>
      </c>
      <c r="F30" t="s">
        <v>19</v>
      </c>
      <c r="G30" s="5">
        <v>4</v>
      </c>
      <c r="H30" s="5">
        <v>4</v>
      </c>
      <c r="I30" s="5">
        <v>299.86</v>
      </c>
      <c r="J30" s="5">
        <v>1199.44</v>
      </c>
      <c r="K30" t="s">
        <v>93</v>
      </c>
      <c r="L30" t="s">
        <v>68</v>
      </c>
      <c r="M30" t="b">
        <f t="shared" si="0"/>
        <v>1</v>
      </c>
    </row>
    <row r="31" spans="1:13" x14ac:dyDescent="0.35">
      <c r="A31">
        <v>30</v>
      </c>
      <c r="B31" t="s">
        <v>72</v>
      </c>
      <c r="C31" t="s">
        <v>83</v>
      </c>
      <c r="D31" s="2">
        <v>45229</v>
      </c>
      <c r="E31" s="2">
        <v>45262</v>
      </c>
      <c r="F31" t="s">
        <v>22</v>
      </c>
      <c r="G31" s="5">
        <v>9</v>
      </c>
      <c r="H31" s="5">
        <v>2</v>
      </c>
      <c r="I31" s="5">
        <v>388.97</v>
      </c>
      <c r="J31" s="5">
        <v>3500.7300000000005</v>
      </c>
      <c r="K31" t="s">
        <v>96</v>
      </c>
      <c r="L31" t="s">
        <v>68</v>
      </c>
      <c r="M31" t="b">
        <f t="shared" si="0"/>
        <v>1</v>
      </c>
    </row>
    <row r="32" spans="1:13" x14ac:dyDescent="0.35">
      <c r="A32">
        <v>31</v>
      </c>
      <c r="B32" t="s">
        <v>73</v>
      </c>
      <c r="C32" t="s">
        <v>78</v>
      </c>
      <c r="D32" s="2">
        <v>44934</v>
      </c>
      <c r="E32" s="2">
        <v>45256</v>
      </c>
      <c r="F32" t="s">
        <v>64</v>
      </c>
      <c r="G32" s="5">
        <v>8</v>
      </c>
      <c r="H32" s="5">
        <v>2</v>
      </c>
      <c r="I32" s="5">
        <v>134.63</v>
      </c>
      <c r="J32" s="5">
        <v>1077.04</v>
      </c>
      <c r="K32" t="s">
        <v>93</v>
      </c>
      <c r="L32" t="s">
        <v>68</v>
      </c>
      <c r="M32" t="b">
        <f t="shared" si="0"/>
        <v>1</v>
      </c>
    </row>
    <row r="33" spans="1:13" x14ac:dyDescent="0.35">
      <c r="A33">
        <v>32</v>
      </c>
      <c r="B33" t="s">
        <v>47</v>
      </c>
      <c r="C33" t="s">
        <v>81</v>
      </c>
      <c r="D33" s="2">
        <v>45160</v>
      </c>
      <c r="E33" s="2">
        <v>45188</v>
      </c>
      <c r="F33" t="s">
        <v>22</v>
      </c>
      <c r="G33" s="5">
        <v>10</v>
      </c>
      <c r="H33" s="5">
        <v>1</v>
      </c>
      <c r="I33" s="5">
        <v>119.75</v>
      </c>
      <c r="J33" s="5">
        <v>1197.5</v>
      </c>
      <c r="K33" t="s">
        <v>93</v>
      </c>
      <c r="L33">
        <v>4</v>
      </c>
      <c r="M33" t="b">
        <f t="shared" si="0"/>
        <v>1</v>
      </c>
    </row>
    <row r="34" spans="1:13" x14ac:dyDescent="0.35">
      <c r="A34">
        <v>33</v>
      </c>
      <c r="B34" t="s">
        <v>12</v>
      </c>
      <c r="C34" t="s">
        <v>36</v>
      </c>
      <c r="D34" s="2">
        <v>45117</v>
      </c>
      <c r="E34" s="2">
        <v>45124</v>
      </c>
      <c r="F34" t="s">
        <v>24</v>
      </c>
      <c r="G34" s="5">
        <v>4</v>
      </c>
      <c r="H34" s="5">
        <v>2</v>
      </c>
      <c r="I34" s="5">
        <v>206.89</v>
      </c>
      <c r="J34" s="5">
        <v>827.56</v>
      </c>
      <c r="K34" t="s">
        <v>93</v>
      </c>
      <c r="L34">
        <v>4</v>
      </c>
      <c r="M34" t="b">
        <f t="shared" si="0"/>
        <v>1</v>
      </c>
    </row>
    <row r="35" spans="1:13" x14ac:dyDescent="0.35">
      <c r="A35">
        <v>34</v>
      </c>
      <c r="B35" t="s">
        <v>76</v>
      </c>
      <c r="C35" t="s">
        <v>82</v>
      </c>
      <c r="D35" s="2">
        <v>45082</v>
      </c>
      <c r="E35" s="2">
        <v>45196</v>
      </c>
      <c r="F35" t="s">
        <v>64</v>
      </c>
      <c r="G35" s="5">
        <v>5</v>
      </c>
      <c r="H35" s="5">
        <v>1</v>
      </c>
      <c r="I35" s="5">
        <v>289.64999999999998</v>
      </c>
      <c r="J35" s="5">
        <v>1448.25</v>
      </c>
      <c r="K35" t="s">
        <v>96</v>
      </c>
      <c r="L35">
        <v>2</v>
      </c>
      <c r="M35" t="b">
        <f t="shared" si="0"/>
        <v>1</v>
      </c>
    </row>
    <row r="36" spans="1:13" x14ac:dyDescent="0.35">
      <c r="A36">
        <v>35</v>
      </c>
      <c r="B36" t="s">
        <v>75</v>
      </c>
      <c r="C36" t="s">
        <v>80</v>
      </c>
      <c r="D36" s="2">
        <v>44929</v>
      </c>
      <c r="E36" s="2">
        <v>45271</v>
      </c>
      <c r="F36" t="s">
        <v>39</v>
      </c>
      <c r="G36" s="5">
        <v>6</v>
      </c>
      <c r="H36" s="5">
        <v>3</v>
      </c>
      <c r="I36" s="5">
        <v>219.2</v>
      </c>
      <c r="J36" s="5">
        <v>1315.1999999999998</v>
      </c>
      <c r="K36" t="s">
        <v>93</v>
      </c>
      <c r="L36">
        <v>4</v>
      </c>
      <c r="M36" t="b">
        <f t="shared" si="0"/>
        <v>1</v>
      </c>
    </row>
    <row r="37" spans="1:13" x14ac:dyDescent="0.35">
      <c r="A37">
        <v>36</v>
      </c>
      <c r="B37" t="s">
        <v>12</v>
      </c>
      <c r="C37" t="s">
        <v>78</v>
      </c>
      <c r="D37" s="2">
        <v>45006</v>
      </c>
      <c r="E37" s="2">
        <v>45250</v>
      </c>
      <c r="F37" t="s">
        <v>64</v>
      </c>
      <c r="G37" s="5">
        <v>5</v>
      </c>
      <c r="H37" s="5">
        <v>3</v>
      </c>
      <c r="I37" s="5">
        <v>138.34</v>
      </c>
      <c r="J37" s="5">
        <v>691.7</v>
      </c>
      <c r="K37" t="s">
        <v>93</v>
      </c>
      <c r="L37">
        <v>1</v>
      </c>
      <c r="M37" t="b">
        <f t="shared" si="0"/>
        <v>1</v>
      </c>
    </row>
    <row r="38" spans="1:13" x14ac:dyDescent="0.35">
      <c r="A38">
        <v>37</v>
      </c>
      <c r="B38" t="s">
        <v>38</v>
      </c>
      <c r="C38" t="s">
        <v>36</v>
      </c>
      <c r="D38" s="2">
        <v>44952</v>
      </c>
      <c r="E38" s="2">
        <v>45224</v>
      </c>
      <c r="F38" t="s">
        <v>64</v>
      </c>
      <c r="G38" s="5">
        <v>6</v>
      </c>
      <c r="H38" s="5">
        <v>4</v>
      </c>
      <c r="I38" s="5">
        <v>444.01</v>
      </c>
      <c r="J38" s="5">
        <v>2664.06</v>
      </c>
      <c r="K38" t="s">
        <v>96</v>
      </c>
      <c r="L38">
        <v>2</v>
      </c>
      <c r="M38" t="b">
        <f t="shared" si="0"/>
        <v>1</v>
      </c>
    </row>
    <row r="39" spans="1:13" x14ac:dyDescent="0.35">
      <c r="A39">
        <v>38</v>
      </c>
      <c r="B39" t="s">
        <v>73</v>
      </c>
      <c r="C39" t="s">
        <v>73</v>
      </c>
      <c r="D39" s="2">
        <v>44947</v>
      </c>
      <c r="E39" s="2">
        <v>45139</v>
      </c>
      <c r="F39" t="s">
        <v>22</v>
      </c>
      <c r="G39" s="5">
        <v>7</v>
      </c>
      <c r="H39" s="5">
        <v>3</v>
      </c>
      <c r="I39" s="5">
        <v>252.63</v>
      </c>
      <c r="J39" s="5">
        <v>1768.4099999999999</v>
      </c>
      <c r="K39" t="s">
        <v>93</v>
      </c>
      <c r="L39" t="s">
        <v>68</v>
      </c>
      <c r="M39" t="b">
        <f t="shared" si="0"/>
        <v>1</v>
      </c>
    </row>
    <row r="40" spans="1:13" x14ac:dyDescent="0.35">
      <c r="A40">
        <v>39</v>
      </c>
      <c r="B40" t="s">
        <v>16</v>
      </c>
      <c r="C40" t="s">
        <v>73</v>
      </c>
      <c r="D40" s="2">
        <v>45159</v>
      </c>
      <c r="E40" s="2">
        <v>45259</v>
      </c>
      <c r="F40" t="s">
        <v>28</v>
      </c>
      <c r="G40" s="5">
        <v>9</v>
      </c>
      <c r="H40" s="5">
        <v>2</v>
      </c>
      <c r="I40" s="5">
        <v>450.03</v>
      </c>
      <c r="J40" s="5">
        <v>4050.2699999999995</v>
      </c>
      <c r="K40" t="s">
        <v>93</v>
      </c>
      <c r="L40">
        <v>1</v>
      </c>
      <c r="M40" t="b">
        <f t="shared" si="0"/>
        <v>1</v>
      </c>
    </row>
    <row r="41" spans="1:13" x14ac:dyDescent="0.35">
      <c r="A41">
        <v>40</v>
      </c>
      <c r="B41" t="s">
        <v>72</v>
      </c>
      <c r="C41" t="s">
        <v>84</v>
      </c>
      <c r="D41" s="2">
        <v>44947</v>
      </c>
      <c r="E41" s="2">
        <v>45172</v>
      </c>
      <c r="F41" t="s">
        <v>24</v>
      </c>
      <c r="G41" s="5">
        <v>2</v>
      </c>
      <c r="H41" s="5">
        <v>1</v>
      </c>
      <c r="I41" s="5">
        <v>120.39</v>
      </c>
      <c r="J41" s="5">
        <v>240.78</v>
      </c>
      <c r="K41" t="s">
        <v>96</v>
      </c>
      <c r="L41">
        <v>1</v>
      </c>
      <c r="M41" t="b">
        <f t="shared" si="0"/>
        <v>1</v>
      </c>
    </row>
    <row r="42" spans="1:13" x14ac:dyDescent="0.35">
      <c r="A42">
        <v>41</v>
      </c>
      <c r="B42" t="s">
        <v>16</v>
      </c>
      <c r="C42" t="s">
        <v>84</v>
      </c>
      <c r="D42" s="2">
        <v>45052</v>
      </c>
      <c r="E42" s="2">
        <v>45288</v>
      </c>
      <c r="F42" t="s">
        <v>64</v>
      </c>
      <c r="G42" s="5">
        <v>7</v>
      </c>
      <c r="H42" s="5">
        <v>2</v>
      </c>
      <c r="I42" s="5">
        <v>196.64</v>
      </c>
      <c r="J42" s="5">
        <v>1376.48</v>
      </c>
      <c r="K42" t="s">
        <v>93</v>
      </c>
      <c r="L42">
        <v>4</v>
      </c>
      <c r="M42" t="b">
        <f t="shared" si="0"/>
        <v>1</v>
      </c>
    </row>
    <row r="43" spans="1:13" x14ac:dyDescent="0.35">
      <c r="A43">
        <v>42</v>
      </c>
      <c r="B43" t="s">
        <v>33</v>
      </c>
      <c r="C43" t="s">
        <v>78</v>
      </c>
      <c r="D43" s="2">
        <v>45214</v>
      </c>
      <c r="E43" s="2">
        <v>45264</v>
      </c>
      <c r="F43" t="s">
        <v>22</v>
      </c>
      <c r="G43" s="5">
        <v>4</v>
      </c>
      <c r="H43" s="5">
        <v>1</v>
      </c>
      <c r="I43" s="5">
        <v>451.76</v>
      </c>
      <c r="J43" s="5">
        <v>1807.04</v>
      </c>
      <c r="K43" t="s">
        <v>93</v>
      </c>
      <c r="L43">
        <v>2</v>
      </c>
      <c r="M43" t="b">
        <f t="shared" si="0"/>
        <v>1</v>
      </c>
    </row>
    <row r="44" spans="1:13" x14ac:dyDescent="0.35">
      <c r="A44">
        <v>43</v>
      </c>
      <c r="B44" t="s">
        <v>76</v>
      </c>
      <c r="C44" t="s">
        <v>83</v>
      </c>
      <c r="D44" s="2">
        <v>45051</v>
      </c>
      <c r="E44" s="2">
        <v>45260</v>
      </c>
      <c r="F44" t="s">
        <v>22</v>
      </c>
      <c r="G44" s="5">
        <v>1</v>
      </c>
      <c r="H44" s="5">
        <v>1</v>
      </c>
      <c r="I44" s="5">
        <v>376.69</v>
      </c>
      <c r="J44" s="5">
        <v>376.69</v>
      </c>
      <c r="K44" t="s">
        <v>96</v>
      </c>
      <c r="L44">
        <v>2</v>
      </c>
      <c r="M44" t="b">
        <f t="shared" si="0"/>
        <v>1</v>
      </c>
    </row>
    <row r="45" spans="1:13" x14ac:dyDescent="0.35">
      <c r="A45">
        <v>44</v>
      </c>
      <c r="B45" t="s">
        <v>74</v>
      </c>
      <c r="C45" t="s">
        <v>84</v>
      </c>
      <c r="D45" s="2">
        <v>45055</v>
      </c>
      <c r="E45" s="2">
        <v>45266</v>
      </c>
      <c r="F45" t="s">
        <v>22</v>
      </c>
      <c r="G45" s="5">
        <v>3</v>
      </c>
      <c r="H45" s="5">
        <v>1</v>
      </c>
      <c r="I45" s="5">
        <v>225.84</v>
      </c>
      <c r="J45" s="5">
        <v>677.52</v>
      </c>
      <c r="K45" t="s">
        <v>93</v>
      </c>
      <c r="L45">
        <v>5</v>
      </c>
      <c r="M45" t="b">
        <f t="shared" si="0"/>
        <v>1</v>
      </c>
    </row>
    <row r="46" spans="1:13" x14ac:dyDescent="0.35">
      <c r="A46">
        <v>45</v>
      </c>
      <c r="B46" t="s">
        <v>75</v>
      </c>
      <c r="C46" t="s">
        <v>81</v>
      </c>
      <c r="D46" s="2">
        <v>45101</v>
      </c>
      <c r="E46" s="2">
        <v>45241</v>
      </c>
      <c r="F46" t="s">
        <v>19</v>
      </c>
      <c r="G46" s="5">
        <v>4</v>
      </c>
      <c r="H46" s="5">
        <v>3</v>
      </c>
      <c r="I46" s="5">
        <v>323.39999999999998</v>
      </c>
      <c r="J46" s="5">
        <v>1293.5999999999999</v>
      </c>
      <c r="K46" t="s">
        <v>93</v>
      </c>
      <c r="L46">
        <v>5</v>
      </c>
      <c r="M46" t="b">
        <f t="shared" si="0"/>
        <v>1</v>
      </c>
    </row>
    <row r="47" spans="1:13" x14ac:dyDescent="0.35">
      <c r="A47">
        <v>46</v>
      </c>
      <c r="B47" t="s">
        <v>74</v>
      </c>
      <c r="C47" t="s">
        <v>27</v>
      </c>
      <c r="D47" s="2">
        <v>45098</v>
      </c>
      <c r="E47" s="2">
        <v>45171</v>
      </c>
      <c r="F47" t="s">
        <v>39</v>
      </c>
      <c r="G47" s="5">
        <v>4</v>
      </c>
      <c r="H47" s="5">
        <v>2</v>
      </c>
      <c r="I47" s="5">
        <v>264.89</v>
      </c>
      <c r="J47" s="5">
        <v>1059.56</v>
      </c>
      <c r="K47" t="s">
        <v>96</v>
      </c>
      <c r="L47">
        <v>1</v>
      </c>
      <c r="M47" t="b">
        <f t="shared" si="0"/>
        <v>1</v>
      </c>
    </row>
    <row r="48" spans="1:13" x14ac:dyDescent="0.35">
      <c r="A48">
        <v>47</v>
      </c>
      <c r="B48" t="s">
        <v>12</v>
      </c>
      <c r="C48" t="s">
        <v>73</v>
      </c>
      <c r="D48" s="2">
        <v>44959</v>
      </c>
      <c r="E48" s="2">
        <v>45270</v>
      </c>
      <c r="F48" t="s">
        <v>64</v>
      </c>
      <c r="G48" s="5">
        <v>1</v>
      </c>
      <c r="H48" s="5">
        <v>1</v>
      </c>
      <c r="I48" s="5">
        <v>425.87</v>
      </c>
      <c r="J48" s="5">
        <v>425.87</v>
      </c>
      <c r="K48" t="s">
        <v>93</v>
      </c>
      <c r="L48" t="s">
        <v>68</v>
      </c>
      <c r="M48" t="b">
        <f t="shared" si="0"/>
        <v>1</v>
      </c>
    </row>
    <row r="49" spans="1:13" x14ac:dyDescent="0.35">
      <c r="A49">
        <v>48</v>
      </c>
      <c r="B49" t="s">
        <v>12</v>
      </c>
      <c r="C49" t="s">
        <v>73</v>
      </c>
      <c r="D49" s="2">
        <v>44942</v>
      </c>
      <c r="E49" s="2">
        <v>45218</v>
      </c>
      <c r="F49" t="s">
        <v>19</v>
      </c>
      <c r="G49" s="5">
        <v>5</v>
      </c>
      <c r="H49" s="5">
        <v>3</v>
      </c>
      <c r="I49" s="5">
        <v>242.09</v>
      </c>
      <c r="J49" s="5">
        <v>1210.45</v>
      </c>
      <c r="K49" t="s">
        <v>93</v>
      </c>
      <c r="L49">
        <v>3</v>
      </c>
      <c r="M49" t="b">
        <f t="shared" si="0"/>
        <v>1</v>
      </c>
    </row>
    <row r="50" spans="1:13" x14ac:dyDescent="0.35">
      <c r="A50">
        <v>49</v>
      </c>
      <c r="B50" t="s">
        <v>72</v>
      </c>
      <c r="C50" t="s">
        <v>79</v>
      </c>
      <c r="D50" s="2">
        <v>45067</v>
      </c>
      <c r="E50" s="2">
        <v>45263</v>
      </c>
      <c r="F50" t="s">
        <v>22</v>
      </c>
      <c r="G50" s="5">
        <v>6</v>
      </c>
      <c r="H50" s="5">
        <v>2</v>
      </c>
      <c r="I50" s="5">
        <v>142.9</v>
      </c>
      <c r="J50" s="5">
        <v>857.40000000000009</v>
      </c>
      <c r="K50" t="s">
        <v>93</v>
      </c>
      <c r="L50" t="s">
        <v>68</v>
      </c>
      <c r="M50" t="b">
        <f t="shared" si="0"/>
        <v>1</v>
      </c>
    </row>
    <row r="51" spans="1:13" x14ac:dyDescent="0.35">
      <c r="A51">
        <v>50</v>
      </c>
      <c r="B51" t="s">
        <v>75</v>
      </c>
      <c r="C51" t="s">
        <v>36</v>
      </c>
      <c r="D51" s="2">
        <v>45003</v>
      </c>
      <c r="E51" s="2">
        <v>45105</v>
      </c>
      <c r="F51" t="s">
        <v>19</v>
      </c>
      <c r="G51" s="5">
        <v>9</v>
      </c>
      <c r="H51" s="5">
        <v>2</v>
      </c>
      <c r="I51" s="5">
        <v>351.19</v>
      </c>
      <c r="J51" s="5">
        <v>3160.71</v>
      </c>
      <c r="K51" t="s">
        <v>96</v>
      </c>
      <c r="L51">
        <v>2</v>
      </c>
      <c r="M51" t="b">
        <f t="shared" si="0"/>
        <v>1</v>
      </c>
    </row>
    <row r="52" spans="1:13" x14ac:dyDescent="0.35">
      <c r="A52">
        <v>51</v>
      </c>
      <c r="B52" t="s">
        <v>38</v>
      </c>
      <c r="C52" t="s">
        <v>73</v>
      </c>
      <c r="D52" s="2">
        <v>44944</v>
      </c>
      <c r="E52" s="2">
        <v>45104</v>
      </c>
      <c r="F52" t="s">
        <v>22</v>
      </c>
      <c r="G52" s="5">
        <v>1</v>
      </c>
      <c r="H52" s="5">
        <v>3</v>
      </c>
      <c r="I52" s="5">
        <v>226.29</v>
      </c>
      <c r="J52" s="5">
        <v>226.29</v>
      </c>
      <c r="K52" t="s">
        <v>93</v>
      </c>
      <c r="L52" t="s">
        <v>68</v>
      </c>
      <c r="M52" t="b">
        <f t="shared" si="0"/>
        <v>1</v>
      </c>
    </row>
    <row r="53" spans="1:13" x14ac:dyDescent="0.35">
      <c r="A53">
        <v>52</v>
      </c>
      <c r="B53" t="s">
        <v>74</v>
      </c>
      <c r="C53" t="s">
        <v>78</v>
      </c>
      <c r="D53" s="2">
        <v>44999</v>
      </c>
      <c r="E53" s="2">
        <v>45074</v>
      </c>
      <c r="F53" t="s">
        <v>64</v>
      </c>
      <c r="G53" s="5">
        <v>1</v>
      </c>
      <c r="H53" s="5">
        <v>2</v>
      </c>
      <c r="I53" s="5">
        <v>52.86</v>
      </c>
      <c r="J53" s="5">
        <v>52.86</v>
      </c>
      <c r="K53" t="s">
        <v>93</v>
      </c>
      <c r="L53">
        <v>2</v>
      </c>
      <c r="M53" t="b">
        <f t="shared" si="0"/>
        <v>1</v>
      </c>
    </row>
    <row r="54" spans="1:13" x14ac:dyDescent="0.35">
      <c r="A54">
        <v>53</v>
      </c>
      <c r="B54" t="s">
        <v>71</v>
      </c>
      <c r="C54" t="s">
        <v>36</v>
      </c>
      <c r="D54" s="2">
        <v>45196</v>
      </c>
      <c r="E54" s="2">
        <v>45263</v>
      </c>
      <c r="F54" t="s">
        <v>22</v>
      </c>
      <c r="G54" s="5">
        <v>10</v>
      </c>
      <c r="H54" s="5">
        <v>3</v>
      </c>
      <c r="I54" s="5">
        <v>440.64</v>
      </c>
      <c r="J54" s="5">
        <v>4406.3999999999996</v>
      </c>
      <c r="K54" t="s">
        <v>96</v>
      </c>
      <c r="L54" t="s">
        <v>68</v>
      </c>
      <c r="M54" t="b">
        <f t="shared" si="0"/>
        <v>1</v>
      </c>
    </row>
    <row r="55" spans="1:13" x14ac:dyDescent="0.35">
      <c r="A55">
        <v>54</v>
      </c>
      <c r="B55" t="s">
        <v>75</v>
      </c>
      <c r="C55" t="s">
        <v>84</v>
      </c>
      <c r="D55" s="2">
        <v>45042</v>
      </c>
      <c r="E55" s="2">
        <v>45106</v>
      </c>
      <c r="F55" t="s">
        <v>24</v>
      </c>
      <c r="G55" s="5">
        <v>4</v>
      </c>
      <c r="H55" s="5">
        <v>3</v>
      </c>
      <c r="I55" s="5">
        <v>366.8</v>
      </c>
      <c r="J55" s="5">
        <v>1467.2</v>
      </c>
      <c r="K55" t="s">
        <v>93</v>
      </c>
      <c r="L55">
        <v>4</v>
      </c>
      <c r="M55" t="b">
        <f t="shared" si="0"/>
        <v>1</v>
      </c>
    </row>
    <row r="56" spans="1:13" x14ac:dyDescent="0.35">
      <c r="A56">
        <v>55</v>
      </c>
      <c r="B56" t="s">
        <v>73</v>
      </c>
      <c r="C56" t="s">
        <v>78</v>
      </c>
      <c r="D56" s="2">
        <v>45045</v>
      </c>
      <c r="E56" s="2">
        <v>45103</v>
      </c>
      <c r="F56" t="s">
        <v>22</v>
      </c>
      <c r="G56" s="5">
        <v>4</v>
      </c>
      <c r="H56" s="5">
        <v>4</v>
      </c>
      <c r="I56" s="5">
        <v>118.34</v>
      </c>
      <c r="J56" s="5">
        <v>473.36</v>
      </c>
      <c r="K56" t="s">
        <v>93</v>
      </c>
      <c r="L56">
        <v>3</v>
      </c>
      <c r="M56" t="b">
        <f t="shared" si="0"/>
        <v>1</v>
      </c>
    </row>
    <row r="57" spans="1:13" x14ac:dyDescent="0.35">
      <c r="A57">
        <v>56</v>
      </c>
      <c r="B57" t="s">
        <v>16</v>
      </c>
      <c r="C57" t="s">
        <v>82</v>
      </c>
      <c r="D57" s="2">
        <v>45023</v>
      </c>
      <c r="E57" s="2">
        <v>45130</v>
      </c>
      <c r="F57" t="s">
        <v>22</v>
      </c>
      <c r="G57" s="5">
        <v>4</v>
      </c>
      <c r="H57" s="5">
        <v>1</v>
      </c>
      <c r="I57" s="5">
        <v>238.35</v>
      </c>
      <c r="J57" s="5">
        <v>953.4</v>
      </c>
      <c r="K57" t="s">
        <v>96</v>
      </c>
      <c r="L57" t="s">
        <v>68</v>
      </c>
      <c r="M57" t="b">
        <f t="shared" si="0"/>
        <v>1</v>
      </c>
    </row>
    <row r="58" spans="1:13" x14ac:dyDescent="0.35">
      <c r="A58">
        <v>57</v>
      </c>
      <c r="B58" t="s">
        <v>72</v>
      </c>
      <c r="C58" t="s">
        <v>80</v>
      </c>
      <c r="D58" s="2">
        <v>45177</v>
      </c>
      <c r="E58" s="2">
        <v>45205</v>
      </c>
      <c r="F58" t="s">
        <v>64</v>
      </c>
      <c r="G58" s="5">
        <v>6</v>
      </c>
      <c r="H58" s="5">
        <v>2</v>
      </c>
      <c r="I58" s="5">
        <v>58.79</v>
      </c>
      <c r="J58" s="5">
        <v>352.74</v>
      </c>
      <c r="K58" t="s">
        <v>93</v>
      </c>
      <c r="L58">
        <v>4</v>
      </c>
      <c r="M58" t="b">
        <f t="shared" si="0"/>
        <v>1</v>
      </c>
    </row>
    <row r="59" spans="1:13" x14ac:dyDescent="0.35">
      <c r="A59">
        <v>58</v>
      </c>
      <c r="B59" t="s">
        <v>33</v>
      </c>
      <c r="C59" t="s">
        <v>79</v>
      </c>
      <c r="D59" s="2">
        <v>45048</v>
      </c>
      <c r="E59" s="2">
        <v>45050</v>
      </c>
      <c r="F59" t="s">
        <v>19</v>
      </c>
      <c r="G59" s="5">
        <v>4</v>
      </c>
      <c r="H59" s="5">
        <v>2</v>
      </c>
      <c r="I59" s="5">
        <v>491.83</v>
      </c>
      <c r="J59" s="5">
        <v>1967.32</v>
      </c>
      <c r="K59" t="s">
        <v>93</v>
      </c>
      <c r="L59">
        <v>3</v>
      </c>
      <c r="M59" t="b">
        <f t="shared" si="0"/>
        <v>1</v>
      </c>
    </row>
    <row r="60" spans="1:13" x14ac:dyDescent="0.35">
      <c r="A60">
        <v>59</v>
      </c>
      <c r="B60" t="s">
        <v>16</v>
      </c>
      <c r="C60" t="s">
        <v>78</v>
      </c>
      <c r="D60" s="2">
        <v>45091</v>
      </c>
      <c r="E60" s="2">
        <v>45117</v>
      </c>
      <c r="F60" t="s">
        <v>19</v>
      </c>
      <c r="G60" s="5">
        <v>6</v>
      </c>
      <c r="H60" s="5">
        <v>4</v>
      </c>
      <c r="I60" s="5">
        <v>407.16</v>
      </c>
      <c r="J60" s="5">
        <v>2442.96</v>
      </c>
      <c r="K60" t="s">
        <v>96</v>
      </c>
      <c r="L60">
        <v>3</v>
      </c>
      <c r="M60" t="b">
        <f t="shared" si="0"/>
        <v>1</v>
      </c>
    </row>
    <row r="61" spans="1:13" x14ac:dyDescent="0.35">
      <c r="A61">
        <v>60</v>
      </c>
      <c r="B61" t="s">
        <v>12</v>
      </c>
      <c r="C61" t="s">
        <v>36</v>
      </c>
      <c r="D61" s="2">
        <v>45081</v>
      </c>
      <c r="E61" s="2">
        <v>45271</v>
      </c>
      <c r="F61" t="s">
        <v>28</v>
      </c>
      <c r="G61" s="5">
        <v>4</v>
      </c>
      <c r="H61" s="5">
        <v>1</v>
      </c>
      <c r="I61" s="5">
        <v>412.46</v>
      </c>
      <c r="J61" s="5">
        <v>1649.84</v>
      </c>
      <c r="K61" t="s">
        <v>93</v>
      </c>
      <c r="L61">
        <v>2</v>
      </c>
      <c r="M61" t="b">
        <f t="shared" si="0"/>
        <v>1</v>
      </c>
    </row>
  </sheetData>
  <conditionalFormatting sqref="A1:A1048576">
    <cfRule type="duplicateValues" dxfId="1" priority="1"/>
  </conditionalFormatting>
  <dataValidations count="1">
    <dataValidation type="list" allowBlank="1" showInputMessage="1" showErrorMessage="1" sqref="K1:K1048576" xr:uid="{820C4A44-FE30-433E-8E9E-25CEC786A662}">
      <formula1>"Paid,Pending"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EDD-0C32-49A1-BA03-06A4B2AF0C31}">
  <dimension ref="A1:L61"/>
  <sheetViews>
    <sheetView topLeftCell="A55" workbookViewId="0">
      <selection activeCell="B1" sqref="B1:B1048576"/>
    </sheetView>
  </sheetViews>
  <sheetFormatPr defaultRowHeight="14.5" x14ac:dyDescent="0.35"/>
  <cols>
    <col min="2" max="2" width="12.26953125" customWidth="1"/>
    <col min="4" max="4" width="11.81640625" customWidth="1"/>
    <col min="5" max="5" width="12.26953125" customWidth="1"/>
    <col min="6" max="6" width="16.90625" customWidth="1"/>
    <col min="7" max="7" width="8.6328125" customWidth="1"/>
    <col min="9" max="9" width="12.81640625" customWidth="1"/>
    <col min="11" max="11" width="13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13</v>
      </c>
      <c r="D2" t="s">
        <v>14</v>
      </c>
      <c r="E2" s="1">
        <v>45160</v>
      </c>
      <c r="F2" t="s">
        <v>15</v>
      </c>
      <c r="G2">
        <v>2</v>
      </c>
      <c r="H2">
        <v>3</v>
      </c>
      <c r="I2">
        <v>121.74</v>
      </c>
    </row>
    <row r="3" spans="1:12" x14ac:dyDescent="0.35">
      <c r="A3">
        <v>2</v>
      </c>
      <c r="B3" t="s">
        <v>16</v>
      </c>
      <c r="C3" t="s">
        <v>17</v>
      </c>
      <c r="D3" t="s">
        <v>18</v>
      </c>
      <c r="E3" s="1">
        <v>45055</v>
      </c>
      <c r="F3" t="s">
        <v>19</v>
      </c>
      <c r="G3">
        <v>10</v>
      </c>
      <c r="H3">
        <v>1</v>
      </c>
      <c r="I3">
        <v>262.10000000000002</v>
      </c>
    </row>
    <row r="4" spans="1:12" x14ac:dyDescent="0.35">
      <c r="A4">
        <v>3</v>
      </c>
      <c r="B4" t="s">
        <v>20</v>
      </c>
      <c r="C4" t="s">
        <v>21</v>
      </c>
      <c r="D4" s="1">
        <v>44930</v>
      </c>
      <c r="E4" s="1">
        <v>44975</v>
      </c>
      <c r="F4" t="s">
        <v>22</v>
      </c>
      <c r="G4">
        <v>0</v>
      </c>
      <c r="H4">
        <v>2</v>
      </c>
      <c r="I4">
        <v>288.16000000000003</v>
      </c>
      <c r="L4">
        <v>1</v>
      </c>
    </row>
    <row r="5" spans="1:12" x14ac:dyDescent="0.35">
      <c r="A5">
        <v>4</v>
      </c>
      <c r="B5" t="s">
        <v>20</v>
      </c>
      <c r="C5" t="s">
        <v>17</v>
      </c>
      <c r="D5" t="s">
        <v>23</v>
      </c>
      <c r="E5" s="1">
        <v>45271</v>
      </c>
      <c r="F5" t="s">
        <v>24</v>
      </c>
      <c r="G5">
        <v>0</v>
      </c>
      <c r="H5">
        <v>4</v>
      </c>
      <c r="I5">
        <v>273.20999999999998</v>
      </c>
      <c r="L5">
        <v>1</v>
      </c>
    </row>
    <row r="6" spans="1:12" x14ac:dyDescent="0.35">
      <c r="A6">
        <v>5</v>
      </c>
      <c r="B6" t="s">
        <v>25</v>
      </c>
      <c r="C6" t="s">
        <v>21</v>
      </c>
      <c r="D6" s="1">
        <v>44991</v>
      </c>
      <c r="E6" s="1">
        <v>45177</v>
      </c>
      <c r="F6" t="s">
        <v>22</v>
      </c>
      <c r="G6">
        <v>-2</v>
      </c>
      <c r="H6">
        <v>3</v>
      </c>
      <c r="I6">
        <v>153.28</v>
      </c>
      <c r="L6">
        <v>5</v>
      </c>
    </row>
    <row r="7" spans="1:12" x14ac:dyDescent="0.35">
      <c r="A7">
        <v>6</v>
      </c>
      <c r="C7" t="s">
        <v>21</v>
      </c>
      <c r="D7" t="s">
        <v>26</v>
      </c>
      <c r="E7" s="1">
        <v>44971</v>
      </c>
      <c r="F7" t="s">
        <v>24</v>
      </c>
      <c r="G7">
        <v>1</v>
      </c>
      <c r="H7">
        <v>2</v>
      </c>
      <c r="I7">
        <v>189.93</v>
      </c>
      <c r="L7">
        <v>1</v>
      </c>
    </row>
    <row r="8" spans="1:12" x14ac:dyDescent="0.35">
      <c r="A8">
        <v>7</v>
      </c>
      <c r="B8" t="s">
        <v>20</v>
      </c>
      <c r="C8" t="s">
        <v>27</v>
      </c>
      <c r="D8" s="1">
        <v>45045</v>
      </c>
      <c r="E8" s="1">
        <v>44980</v>
      </c>
      <c r="F8" t="s">
        <v>28</v>
      </c>
      <c r="G8">
        <v>6</v>
      </c>
      <c r="H8">
        <v>4</v>
      </c>
      <c r="I8">
        <v>224.52</v>
      </c>
    </row>
    <row r="9" spans="1:12" x14ac:dyDescent="0.35">
      <c r="A9">
        <v>8</v>
      </c>
      <c r="D9" t="s">
        <v>29</v>
      </c>
      <c r="E9" s="1">
        <v>45225</v>
      </c>
      <c r="F9" t="s">
        <v>28</v>
      </c>
      <c r="G9">
        <v>1</v>
      </c>
      <c r="H9">
        <v>2</v>
      </c>
      <c r="I9">
        <v>193.12</v>
      </c>
      <c r="L9">
        <v>3</v>
      </c>
    </row>
    <row r="10" spans="1:12" x14ac:dyDescent="0.35">
      <c r="A10">
        <v>9</v>
      </c>
      <c r="B10" t="s">
        <v>25</v>
      </c>
      <c r="C10" t="s">
        <v>30</v>
      </c>
      <c r="D10" s="1">
        <v>45085</v>
      </c>
      <c r="E10" s="1">
        <v>45051</v>
      </c>
      <c r="F10" t="s">
        <v>19</v>
      </c>
      <c r="G10">
        <v>1</v>
      </c>
      <c r="H10">
        <v>2</v>
      </c>
      <c r="I10">
        <v>252.69</v>
      </c>
      <c r="L10">
        <v>2</v>
      </c>
    </row>
    <row r="11" spans="1:12" x14ac:dyDescent="0.35">
      <c r="A11">
        <v>10</v>
      </c>
      <c r="B11" t="s">
        <v>31</v>
      </c>
      <c r="C11" t="s">
        <v>21</v>
      </c>
      <c r="D11" s="1">
        <v>45119</v>
      </c>
      <c r="E11" s="1">
        <v>45141</v>
      </c>
      <c r="F11" t="s">
        <v>19</v>
      </c>
      <c r="G11">
        <v>4</v>
      </c>
      <c r="H11">
        <v>4</v>
      </c>
      <c r="I11">
        <v>234.9</v>
      </c>
      <c r="L11">
        <v>4</v>
      </c>
    </row>
    <row r="12" spans="1:12" x14ac:dyDescent="0.35">
      <c r="A12">
        <v>11</v>
      </c>
      <c r="C12" t="s">
        <v>32</v>
      </c>
      <c r="D12" s="1">
        <v>45251</v>
      </c>
      <c r="E12" s="1">
        <v>45128</v>
      </c>
      <c r="F12" t="s">
        <v>19</v>
      </c>
      <c r="G12">
        <v>9</v>
      </c>
      <c r="H12">
        <v>2</v>
      </c>
      <c r="I12">
        <v>463.33</v>
      </c>
      <c r="L12">
        <v>5</v>
      </c>
    </row>
    <row r="13" spans="1:12" x14ac:dyDescent="0.35">
      <c r="A13">
        <v>12</v>
      </c>
      <c r="B13" t="s">
        <v>33</v>
      </c>
      <c r="C13" t="s">
        <v>34</v>
      </c>
      <c r="D13" t="s">
        <v>35</v>
      </c>
      <c r="E13" s="1">
        <v>44985</v>
      </c>
      <c r="F13" t="s">
        <v>28</v>
      </c>
      <c r="G13">
        <v>2</v>
      </c>
      <c r="H13">
        <v>4</v>
      </c>
      <c r="I13">
        <v>290.26</v>
      </c>
      <c r="L13">
        <v>5</v>
      </c>
    </row>
    <row r="14" spans="1:12" x14ac:dyDescent="0.35">
      <c r="A14">
        <v>13</v>
      </c>
      <c r="B14" t="s">
        <v>20</v>
      </c>
      <c r="C14" t="s">
        <v>32</v>
      </c>
      <c r="D14" s="1">
        <v>45107</v>
      </c>
      <c r="E14" s="1">
        <v>45002</v>
      </c>
      <c r="F14" t="s">
        <v>15</v>
      </c>
      <c r="G14">
        <v>10</v>
      </c>
      <c r="H14">
        <v>1</v>
      </c>
      <c r="I14">
        <v>149.19</v>
      </c>
      <c r="L14">
        <v>3</v>
      </c>
    </row>
    <row r="15" spans="1:12" x14ac:dyDescent="0.35">
      <c r="A15">
        <v>14</v>
      </c>
      <c r="C15" t="s">
        <v>36</v>
      </c>
      <c r="D15" s="1">
        <v>45202</v>
      </c>
      <c r="E15" t="s">
        <v>37</v>
      </c>
      <c r="F15" t="s">
        <v>22</v>
      </c>
      <c r="G15">
        <v>8</v>
      </c>
      <c r="H15">
        <v>2</v>
      </c>
      <c r="I15">
        <v>199.65</v>
      </c>
      <c r="L15">
        <v>5</v>
      </c>
    </row>
    <row r="16" spans="1:12" x14ac:dyDescent="0.35">
      <c r="A16">
        <v>15</v>
      </c>
      <c r="B16" t="s">
        <v>38</v>
      </c>
      <c r="D16" s="1">
        <v>45261</v>
      </c>
      <c r="E16" s="1">
        <v>45191</v>
      </c>
      <c r="F16" t="s">
        <v>39</v>
      </c>
      <c r="G16">
        <v>6</v>
      </c>
      <c r="H16">
        <v>1</v>
      </c>
      <c r="I16">
        <v>261.08999999999997</v>
      </c>
      <c r="L16">
        <v>5</v>
      </c>
    </row>
    <row r="17" spans="1:12" x14ac:dyDescent="0.35">
      <c r="A17">
        <v>16</v>
      </c>
      <c r="B17" t="s">
        <v>20</v>
      </c>
      <c r="C17" t="s">
        <v>34</v>
      </c>
      <c r="D17" s="1">
        <v>45120</v>
      </c>
      <c r="E17" s="1">
        <v>45110</v>
      </c>
      <c r="F17" t="s">
        <v>15</v>
      </c>
      <c r="G17">
        <v>2</v>
      </c>
      <c r="H17">
        <v>1</v>
      </c>
      <c r="I17">
        <v>200.49</v>
      </c>
      <c r="L17">
        <v>2</v>
      </c>
    </row>
    <row r="18" spans="1:12" x14ac:dyDescent="0.35">
      <c r="A18">
        <v>17</v>
      </c>
      <c r="B18" t="s">
        <v>20</v>
      </c>
      <c r="C18" t="s">
        <v>36</v>
      </c>
      <c r="D18" t="s">
        <v>40</v>
      </c>
      <c r="E18" s="1">
        <v>44945</v>
      </c>
      <c r="F18" t="s">
        <v>28</v>
      </c>
      <c r="G18">
        <v>6</v>
      </c>
      <c r="H18">
        <v>2</v>
      </c>
      <c r="I18">
        <v>300.08</v>
      </c>
      <c r="L18">
        <v>4</v>
      </c>
    </row>
    <row r="19" spans="1:12" x14ac:dyDescent="0.35">
      <c r="A19">
        <v>18</v>
      </c>
      <c r="B19" t="s">
        <v>31</v>
      </c>
      <c r="C19" t="s">
        <v>32</v>
      </c>
      <c r="D19" s="1">
        <v>45145</v>
      </c>
      <c r="E19" s="1">
        <v>45171</v>
      </c>
      <c r="F19" t="s">
        <v>24</v>
      </c>
      <c r="G19">
        <v>8</v>
      </c>
      <c r="H19">
        <v>4</v>
      </c>
      <c r="I19">
        <v>465.92</v>
      </c>
    </row>
    <row r="20" spans="1:12" x14ac:dyDescent="0.35">
      <c r="A20">
        <v>19</v>
      </c>
      <c r="C20" t="s">
        <v>30</v>
      </c>
      <c r="D20" s="1">
        <v>45029</v>
      </c>
      <c r="E20" s="1">
        <v>45097</v>
      </c>
      <c r="F20" t="s">
        <v>28</v>
      </c>
      <c r="G20">
        <v>0</v>
      </c>
      <c r="H20">
        <v>3</v>
      </c>
      <c r="I20">
        <v>241.42</v>
      </c>
      <c r="L20">
        <v>4</v>
      </c>
    </row>
    <row r="21" spans="1:12" x14ac:dyDescent="0.35">
      <c r="A21">
        <v>20</v>
      </c>
      <c r="B21" t="s">
        <v>16</v>
      </c>
      <c r="C21" t="s">
        <v>36</v>
      </c>
      <c r="D21" s="1">
        <v>45172</v>
      </c>
      <c r="E21" t="s">
        <v>41</v>
      </c>
      <c r="F21" t="s">
        <v>28</v>
      </c>
      <c r="G21">
        <v>3</v>
      </c>
      <c r="H21">
        <v>3</v>
      </c>
      <c r="I21">
        <v>453.19</v>
      </c>
    </row>
    <row r="22" spans="1:12" x14ac:dyDescent="0.35">
      <c r="A22">
        <v>21</v>
      </c>
      <c r="B22" t="s">
        <v>16</v>
      </c>
      <c r="C22" t="s">
        <v>30</v>
      </c>
      <c r="D22" s="1">
        <v>45157</v>
      </c>
      <c r="E22" s="1">
        <v>45274</v>
      </c>
      <c r="F22" t="s">
        <v>28</v>
      </c>
      <c r="G22">
        <v>4</v>
      </c>
      <c r="H22">
        <v>1</v>
      </c>
      <c r="I22">
        <v>67.98</v>
      </c>
      <c r="L22">
        <v>3</v>
      </c>
    </row>
    <row r="23" spans="1:12" x14ac:dyDescent="0.35">
      <c r="A23">
        <v>22</v>
      </c>
      <c r="B23" t="s">
        <v>42</v>
      </c>
      <c r="C23" t="s">
        <v>34</v>
      </c>
      <c r="D23" t="s">
        <v>43</v>
      </c>
      <c r="E23" t="s">
        <v>44</v>
      </c>
      <c r="F23" t="s">
        <v>28</v>
      </c>
      <c r="G23">
        <v>10</v>
      </c>
      <c r="H23">
        <v>1</v>
      </c>
      <c r="I23">
        <v>333.38</v>
      </c>
    </row>
    <row r="24" spans="1:12" x14ac:dyDescent="0.35">
      <c r="A24">
        <v>23</v>
      </c>
      <c r="B24" t="s">
        <v>20</v>
      </c>
      <c r="C24" t="s">
        <v>32</v>
      </c>
      <c r="D24" s="1">
        <v>45120</v>
      </c>
      <c r="E24" t="s">
        <v>45</v>
      </c>
      <c r="F24" t="s">
        <v>19</v>
      </c>
      <c r="G24">
        <v>3</v>
      </c>
      <c r="H24">
        <v>2</v>
      </c>
      <c r="I24">
        <v>228.6</v>
      </c>
    </row>
    <row r="25" spans="1:12" x14ac:dyDescent="0.35">
      <c r="A25">
        <v>24</v>
      </c>
      <c r="B25" t="s">
        <v>25</v>
      </c>
      <c r="C25" t="s">
        <v>46</v>
      </c>
      <c r="D25" s="1">
        <v>45227</v>
      </c>
      <c r="E25" s="1">
        <v>44928</v>
      </c>
      <c r="F25" t="s">
        <v>15</v>
      </c>
      <c r="G25">
        <v>-2</v>
      </c>
      <c r="H25">
        <v>4</v>
      </c>
      <c r="I25">
        <v>362.87</v>
      </c>
      <c r="L25">
        <v>5</v>
      </c>
    </row>
    <row r="26" spans="1:12" x14ac:dyDescent="0.35">
      <c r="A26">
        <v>25</v>
      </c>
      <c r="B26" t="s">
        <v>47</v>
      </c>
      <c r="C26" t="s">
        <v>13</v>
      </c>
      <c r="D26" s="1">
        <v>45140</v>
      </c>
      <c r="E26" t="s">
        <v>48</v>
      </c>
      <c r="F26" t="s">
        <v>15</v>
      </c>
      <c r="G26">
        <v>-1</v>
      </c>
      <c r="H26">
        <v>3</v>
      </c>
      <c r="I26">
        <v>296.64999999999998</v>
      </c>
      <c r="L26">
        <v>1</v>
      </c>
    </row>
    <row r="27" spans="1:12" x14ac:dyDescent="0.35">
      <c r="A27">
        <v>26</v>
      </c>
      <c r="B27" t="s">
        <v>49</v>
      </c>
      <c r="C27" t="s">
        <v>46</v>
      </c>
      <c r="D27" s="1">
        <v>45171</v>
      </c>
      <c r="E27" s="1">
        <v>45099</v>
      </c>
      <c r="F27" t="s">
        <v>24</v>
      </c>
      <c r="G27">
        <v>0</v>
      </c>
      <c r="H27">
        <v>2</v>
      </c>
      <c r="I27">
        <v>229.57</v>
      </c>
    </row>
    <row r="28" spans="1:12" x14ac:dyDescent="0.35">
      <c r="A28">
        <v>27</v>
      </c>
      <c r="B28" t="s">
        <v>31</v>
      </c>
      <c r="D28" s="1">
        <v>45117</v>
      </c>
      <c r="E28" s="1">
        <v>45245</v>
      </c>
      <c r="F28" t="s">
        <v>19</v>
      </c>
      <c r="G28">
        <v>4</v>
      </c>
      <c r="H28">
        <v>3</v>
      </c>
      <c r="I28">
        <v>206.26</v>
      </c>
      <c r="L28">
        <v>2</v>
      </c>
    </row>
    <row r="29" spans="1:12" x14ac:dyDescent="0.35">
      <c r="A29">
        <v>28</v>
      </c>
      <c r="B29" t="s">
        <v>16</v>
      </c>
      <c r="C29" t="s">
        <v>27</v>
      </c>
      <c r="D29" s="1">
        <v>45063</v>
      </c>
      <c r="E29" t="s">
        <v>50</v>
      </c>
      <c r="F29" t="s">
        <v>22</v>
      </c>
      <c r="G29">
        <v>7</v>
      </c>
      <c r="H29">
        <v>4</v>
      </c>
      <c r="I29">
        <v>351.99</v>
      </c>
      <c r="L29">
        <v>3</v>
      </c>
    </row>
    <row r="30" spans="1:12" x14ac:dyDescent="0.35">
      <c r="A30">
        <v>29</v>
      </c>
      <c r="B30" t="s">
        <v>31</v>
      </c>
      <c r="D30" t="s">
        <v>51</v>
      </c>
      <c r="E30" s="1">
        <v>45010</v>
      </c>
      <c r="F30" t="s">
        <v>19</v>
      </c>
      <c r="G30">
        <v>0</v>
      </c>
      <c r="H30">
        <v>4</v>
      </c>
      <c r="I30">
        <v>299.86</v>
      </c>
    </row>
    <row r="31" spans="1:12" x14ac:dyDescent="0.35">
      <c r="A31">
        <v>30</v>
      </c>
      <c r="B31" t="s">
        <v>25</v>
      </c>
      <c r="C31" t="s">
        <v>46</v>
      </c>
      <c r="D31" t="s">
        <v>52</v>
      </c>
      <c r="E31" s="1">
        <v>44969</v>
      </c>
      <c r="F31" t="s">
        <v>22</v>
      </c>
      <c r="G31">
        <v>9</v>
      </c>
      <c r="H31">
        <v>2</v>
      </c>
      <c r="I31">
        <v>388.97</v>
      </c>
    </row>
    <row r="32" spans="1:12" x14ac:dyDescent="0.35">
      <c r="A32">
        <v>31</v>
      </c>
      <c r="C32" t="s">
        <v>13</v>
      </c>
      <c r="D32" s="1">
        <v>45256</v>
      </c>
      <c r="E32" s="1">
        <v>45139</v>
      </c>
      <c r="F32" t="s">
        <v>15</v>
      </c>
      <c r="G32">
        <v>8</v>
      </c>
      <c r="H32">
        <v>2</v>
      </c>
      <c r="I32">
        <v>134.63</v>
      </c>
    </row>
    <row r="33" spans="1:12" x14ac:dyDescent="0.35">
      <c r="A33">
        <v>32</v>
      </c>
      <c r="B33" t="s">
        <v>47</v>
      </c>
      <c r="C33" t="s">
        <v>32</v>
      </c>
      <c r="D33" s="1">
        <v>45188</v>
      </c>
      <c r="E33" s="1">
        <v>45160</v>
      </c>
      <c r="F33" t="s">
        <v>22</v>
      </c>
      <c r="G33">
        <v>10</v>
      </c>
      <c r="H33">
        <v>1</v>
      </c>
      <c r="I33">
        <v>119.75</v>
      </c>
      <c r="L33">
        <v>4</v>
      </c>
    </row>
    <row r="34" spans="1:12" x14ac:dyDescent="0.35">
      <c r="A34">
        <v>33</v>
      </c>
      <c r="B34" t="s">
        <v>12</v>
      </c>
      <c r="C34" t="s">
        <v>36</v>
      </c>
      <c r="D34" s="1">
        <v>45206</v>
      </c>
      <c r="E34" s="1">
        <v>45124</v>
      </c>
      <c r="F34" t="s">
        <v>24</v>
      </c>
      <c r="G34">
        <v>4</v>
      </c>
      <c r="H34">
        <v>2</v>
      </c>
      <c r="I34">
        <v>206.89</v>
      </c>
      <c r="L34">
        <v>4</v>
      </c>
    </row>
    <row r="35" spans="1:12" x14ac:dyDescent="0.35">
      <c r="A35">
        <v>34</v>
      </c>
      <c r="B35" t="s">
        <v>49</v>
      </c>
      <c r="C35" t="s">
        <v>34</v>
      </c>
      <c r="D35" s="1">
        <v>45196</v>
      </c>
      <c r="E35" s="1">
        <v>45052</v>
      </c>
      <c r="F35" t="s">
        <v>15</v>
      </c>
      <c r="G35">
        <v>5</v>
      </c>
      <c r="H35">
        <v>1</v>
      </c>
      <c r="I35">
        <v>289.64999999999998</v>
      </c>
      <c r="L35">
        <v>2</v>
      </c>
    </row>
    <row r="36" spans="1:12" x14ac:dyDescent="0.35">
      <c r="A36">
        <v>35</v>
      </c>
      <c r="B36" t="s">
        <v>42</v>
      </c>
      <c r="C36" t="s">
        <v>30</v>
      </c>
      <c r="D36" s="1">
        <v>44986</v>
      </c>
      <c r="E36" s="1">
        <v>45242</v>
      </c>
      <c r="F36" t="s">
        <v>39</v>
      </c>
      <c r="G36">
        <v>6</v>
      </c>
      <c r="H36">
        <v>3</v>
      </c>
      <c r="I36">
        <v>219.2</v>
      </c>
      <c r="L36">
        <v>4</v>
      </c>
    </row>
    <row r="37" spans="1:12" x14ac:dyDescent="0.35">
      <c r="A37">
        <v>36</v>
      </c>
      <c r="B37" t="s">
        <v>12</v>
      </c>
      <c r="C37" t="s">
        <v>13</v>
      </c>
      <c r="D37" t="s">
        <v>53</v>
      </c>
      <c r="E37" t="s">
        <v>54</v>
      </c>
      <c r="F37" t="s">
        <v>15</v>
      </c>
      <c r="G37">
        <v>5</v>
      </c>
      <c r="H37">
        <v>3</v>
      </c>
      <c r="I37">
        <v>138.34</v>
      </c>
      <c r="L37">
        <v>1</v>
      </c>
    </row>
    <row r="38" spans="1:12" x14ac:dyDescent="0.35">
      <c r="A38">
        <v>37</v>
      </c>
      <c r="B38" t="s">
        <v>38</v>
      </c>
      <c r="C38" t="s">
        <v>36</v>
      </c>
      <c r="D38" s="1">
        <v>45224</v>
      </c>
      <c r="E38" s="1">
        <v>44952</v>
      </c>
      <c r="F38" t="s">
        <v>15</v>
      </c>
      <c r="G38">
        <v>6</v>
      </c>
      <c r="H38">
        <v>4</v>
      </c>
      <c r="I38">
        <v>444.01</v>
      </c>
      <c r="L38">
        <v>2</v>
      </c>
    </row>
    <row r="39" spans="1:12" x14ac:dyDescent="0.35">
      <c r="A39">
        <v>38</v>
      </c>
      <c r="D39" s="1">
        <v>44934</v>
      </c>
      <c r="E39" s="1">
        <v>44947</v>
      </c>
      <c r="F39" t="s">
        <v>22</v>
      </c>
      <c r="G39">
        <v>7</v>
      </c>
      <c r="H39">
        <v>3</v>
      </c>
      <c r="I39">
        <v>252.63</v>
      </c>
    </row>
    <row r="40" spans="1:12" x14ac:dyDescent="0.35">
      <c r="A40">
        <v>39</v>
      </c>
      <c r="B40" t="s">
        <v>16</v>
      </c>
      <c r="D40" t="s">
        <v>55</v>
      </c>
      <c r="E40" s="1">
        <v>45159</v>
      </c>
      <c r="F40" t="s">
        <v>28</v>
      </c>
      <c r="G40">
        <v>9</v>
      </c>
      <c r="H40">
        <v>2</v>
      </c>
      <c r="I40">
        <v>450.03</v>
      </c>
      <c r="L40">
        <v>1</v>
      </c>
    </row>
    <row r="41" spans="1:12" x14ac:dyDescent="0.35">
      <c r="A41">
        <v>40</v>
      </c>
      <c r="B41" t="s">
        <v>25</v>
      </c>
      <c r="C41" t="s">
        <v>56</v>
      </c>
      <c r="D41" s="1">
        <v>44994</v>
      </c>
      <c r="E41" s="1">
        <v>44947</v>
      </c>
      <c r="F41" t="s">
        <v>24</v>
      </c>
      <c r="G41">
        <v>2</v>
      </c>
      <c r="H41">
        <v>1</v>
      </c>
      <c r="I41">
        <v>120.39</v>
      </c>
      <c r="L41">
        <v>1</v>
      </c>
    </row>
    <row r="42" spans="1:12" x14ac:dyDescent="0.35">
      <c r="A42">
        <v>41</v>
      </c>
      <c r="B42" t="s">
        <v>16</v>
      </c>
      <c r="C42" t="s">
        <v>56</v>
      </c>
      <c r="D42" s="1">
        <v>45082</v>
      </c>
      <c r="E42" s="1">
        <v>45288</v>
      </c>
      <c r="F42" t="s">
        <v>15</v>
      </c>
      <c r="G42">
        <v>7</v>
      </c>
      <c r="H42">
        <v>2</v>
      </c>
      <c r="I42">
        <v>196.64</v>
      </c>
      <c r="L42">
        <v>4</v>
      </c>
    </row>
    <row r="43" spans="1:12" x14ac:dyDescent="0.35">
      <c r="A43">
        <v>42</v>
      </c>
      <c r="B43" t="s">
        <v>33</v>
      </c>
      <c r="C43" t="s">
        <v>13</v>
      </c>
      <c r="D43" s="1">
        <v>45028</v>
      </c>
      <c r="E43" s="1">
        <v>45214</v>
      </c>
      <c r="F43" t="s">
        <v>22</v>
      </c>
      <c r="G43">
        <v>4</v>
      </c>
      <c r="H43">
        <v>1</v>
      </c>
      <c r="I43">
        <v>451.76</v>
      </c>
      <c r="L43">
        <v>2</v>
      </c>
    </row>
    <row r="44" spans="1:12" x14ac:dyDescent="0.35">
      <c r="A44">
        <v>43</v>
      </c>
      <c r="B44" t="s">
        <v>49</v>
      </c>
      <c r="C44" t="s">
        <v>46</v>
      </c>
      <c r="D44" s="1">
        <v>45051</v>
      </c>
      <c r="E44" t="s">
        <v>40</v>
      </c>
      <c r="F44" t="s">
        <v>22</v>
      </c>
      <c r="G44">
        <v>1</v>
      </c>
      <c r="H44">
        <v>1</v>
      </c>
      <c r="I44">
        <v>376.69</v>
      </c>
      <c r="L44">
        <v>2</v>
      </c>
    </row>
    <row r="45" spans="1:12" x14ac:dyDescent="0.35">
      <c r="A45">
        <v>44</v>
      </c>
      <c r="B45" t="s">
        <v>31</v>
      </c>
      <c r="C45" t="s">
        <v>56</v>
      </c>
      <c r="D45" s="1">
        <v>45174</v>
      </c>
      <c r="E45" s="1">
        <v>45089</v>
      </c>
      <c r="F45" t="s">
        <v>22</v>
      </c>
      <c r="G45">
        <v>3</v>
      </c>
      <c r="H45">
        <v>1</v>
      </c>
      <c r="I45">
        <v>225.84</v>
      </c>
      <c r="L45">
        <v>5</v>
      </c>
    </row>
    <row r="46" spans="1:12" x14ac:dyDescent="0.35">
      <c r="A46">
        <v>45</v>
      </c>
      <c r="B46" t="s">
        <v>42</v>
      </c>
      <c r="C46" t="s">
        <v>32</v>
      </c>
      <c r="D46" s="1">
        <v>45101</v>
      </c>
      <c r="E46" s="1">
        <v>45241</v>
      </c>
      <c r="F46" t="s">
        <v>19</v>
      </c>
      <c r="G46">
        <v>-1</v>
      </c>
      <c r="H46">
        <v>3</v>
      </c>
      <c r="I46">
        <v>323.39999999999998</v>
      </c>
      <c r="L46">
        <v>5</v>
      </c>
    </row>
    <row r="47" spans="1:12" x14ac:dyDescent="0.35">
      <c r="A47">
        <v>46</v>
      </c>
      <c r="B47" t="s">
        <v>31</v>
      </c>
      <c r="C47" t="s">
        <v>27</v>
      </c>
      <c r="D47" s="1">
        <v>44966</v>
      </c>
      <c r="E47" t="s">
        <v>57</v>
      </c>
      <c r="F47" t="s">
        <v>39</v>
      </c>
      <c r="G47">
        <v>-1</v>
      </c>
      <c r="H47">
        <v>2</v>
      </c>
      <c r="I47">
        <v>264.89</v>
      </c>
      <c r="L47">
        <v>1</v>
      </c>
    </row>
    <row r="48" spans="1:12" x14ac:dyDescent="0.35">
      <c r="A48">
        <v>47</v>
      </c>
      <c r="B48" t="s">
        <v>12</v>
      </c>
      <c r="D48" s="1">
        <v>44959</v>
      </c>
      <c r="E48" s="1">
        <v>45211</v>
      </c>
      <c r="F48" t="s">
        <v>15</v>
      </c>
      <c r="G48">
        <v>1</v>
      </c>
      <c r="H48">
        <v>1</v>
      </c>
      <c r="I48">
        <v>425.87</v>
      </c>
    </row>
    <row r="49" spans="1:12" x14ac:dyDescent="0.35">
      <c r="A49">
        <v>48</v>
      </c>
      <c r="B49" t="s">
        <v>12</v>
      </c>
      <c r="D49" s="1">
        <v>45218</v>
      </c>
      <c r="E49" s="1">
        <v>44942</v>
      </c>
      <c r="F49" t="s">
        <v>19</v>
      </c>
      <c r="G49">
        <v>5</v>
      </c>
      <c r="H49">
        <v>3</v>
      </c>
      <c r="I49">
        <v>242.09</v>
      </c>
      <c r="L49">
        <v>3</v>
      </c>
    </row>
    <row r="50" spans="1:12" x14ac:dyDescent="0.35">
      <c r="A50">
        <v>49</v>
      </c>
      <c r="B50" t="s">
        <v>25</v>
      </c>
      <c r="C50" t="s">
        <v>17</v>
      </c>
      <c r="D50" s="1">
        <v>45067</v>
      </c>
      <c r="E50" s="1">
        <v>44997</v>
      </c>
      <c r="F50" t="s">
        <v>22</v>
      </c>
      <c r="G50">
        <v>6</v>
      </c>
      <c r="H50">
        <v>2</v>
      </c>
      <c r="I50">
        <v>142.9</v>
      </c>
    </row>
    <row r="51" spans="1:12" x14ac:dyDescent="0.35">
      <c r="A51">
        <v>50</v>
      </c>
      <c r="B51" t="s">
        <v>42</v>
      </c>
      <c r="C51" t="s">
        <v>36</v>
      </c>
      <c r="D51" s="1">
        <v>45003</v>
      </c>
      <c r="E51" t="s">
        <v>58</v>
      </c>
      <c r="F51" t="s">
        <v>19</v>
      </c>
      <c r="G51">
        <v>9</v>
      </c>
      <c r="H51">
        <v>2</v>
      </c>
      <c r="I51">
        <v>351.19</v>
      </c>
      <c r="L51">
        <v>2</v>
      </c>
    </row>
    <row r="52" spans="1:12" x14ac:dyDescent="0.35">
      <c r="A52">
        <v>51</v>
      </c>
      <c r="B52" t="s">
        <v>38</v>
      </c>
      <c r="D52" t="s">
        <v>59</v>
      </c>
      <c r="E52" t="s">
        <v>50</v>
      </c>
      <c r="F52" t="s">
        <v>22</v>
      </c>
      <c r="G52">
        <v>1</v>
      </c>
      <c r="H52">
        <v>3</v>
      </c>
      <c r="I52">
        <v>226.29</v>
      </c>
    </row>
    <row r="53" spans="1:12" x14ac:dyDescent="0.35">
      <c r="A53">
        <v>52</v>
      </c>
      <c r="B53" t="s">
        <v>31</v>
      </c>
      <c r="C53" t="s">
        <v>13</v>
      </c>
      <c r="D53" s="1">
        <v>45074</v>
      </c>
      <c r="E53" t="s">
        <v>60</v>
      </c>
      <c r="F53" t="s">
        <v>15</v>
      </c>
      <c r="G53">
        <v>1</v>
      </c>
      <c r="H53">
        <v>2</v>
      </c>
      <c r="I53">
        <v>52.86</v>
      </c>
      <c r="L53">
        <v>2</v>
      </c>
    </row>
    <row r="54" spans="1:12" x14ac:dyDescent="0.35">
      <c r="A54">
        <v>53</v>
      </c>
      <c r="B54" t="s">
        <v>20</v>
      </c>
      <c r="C54" t="s">
        <v>36</v>
      </c>
      <c r="D54" s="1">
        <v>44997</v>
      </c>
      <c r="E54" s="1">
        <v>45196</v>
      </c>
      <c r="F54" t="s">
        <v>22</v>
      </c>
      <c r="G54">
        <v>10</v>
      </c>
      <c r="H54">
        <v>3</v>
      </c>
      <c r="I54">
        <v>440.64</v>
      </c>
    </row>
    <row r="55" spans="1:12" x14ac:dyDescent="0.35">
      <c r="A55">
        <v>54</v>
      </c>
      <c r="B55" t="s">
        <v>42</v>
      </c>
      <c r="C55" t="s">
        <v>56</v>
      </c>
      <c r="D55" s="1">
        <v>45042</v>
      </c>
      <c r="E55" s="1">
        <v>45106</v>
      </c>
      <c r="F55" t="s">
        <v>24</v>
      </c>
      <c r="G55">
        <v>-2</v>
      </c>
      <c r="H55">
        <v>3</v>
      </c>
      <c r="I55">
        <v>366.8</v>
      </c>
      <c r="L55">
        <v>4</v>
      </c>
    </row>
    <row r="56" spans="1:12" x14ac:dyDescent="0.35">
      <c r="A56">
        <v>55</v>
      </c>
      <c r="C56" t="s">
        <v>13</v>
      </c>
      <c r="D56" s="1">
        <v>45045</v>
      </c>
      <c r="E56" t="s">
        <v>61</v>
      </c>
      <c r="F56" t="s">
        <v>22</v>
      </c>
      <c r="G56">
        <v>-2</v>
      </c>
      <c r="H56">
        <v>4</v>
      </c>
      <c r="I56">
        <v>118.34</v>
      </c>
      <c r="L56">
        <v>3</v>
      </c>
    </row>
    <row r="57" spans="1:12" x14ac:dyDescent="0.35">
      <c r="A57">
        <v>56</v>
      </c>
      <c r="B57" t="s">
        <v>16</v>
      </c>
      <c r="C57" t="s">
        <v>34</v>
      </c>
      <c r="D57" s="1">
        <v>45111</v>
      </c>
      <c r="E57" s="1">
        <v>45130</v>
      </c>
      <c r="F57" t="s">
        <v>22</v>
      </c>
      <c r="G57">
        <v>4</v>
      </c>
      <c r="H57">
        <v>1</v>
      </c>
      <c r="I57">
        <v>238.35</v>
      </c>
    </row>
    <row r="58" spans="1:12" x14ac:dyDescent="0.35">
      <c r="A58">
        <v>57</v>
      </c>
      <c r="B58" t="s">
        <v>25</v>
      </c>
      <c r="C58" t="s">
        <v>30</v>
      </c>
      <c r="D58" s="1">
        <v>45147</v>
      </c>
      <c r="E58" s="1">
        <v>45087</v>
      </c>
      <c r="F58" t="s">
        <v>15</v>
      </c>
      <c r="G58">
        <v>6</v>
      </c>
      <c r="H58">
        <v>2</v>
      </c>
      <c r="I58">
        <v>58.79</v>
      </c>
      <c r="L58">
        <v>4</v>
      </c>
    </row>
    <row r="59" spans="1:12" x14ac:dyDescent="0.35">
      <c r="A59">
        <v>58</v>
      </c>
      <c r="B59" t="s">
        <v>33</v>
      </c>
      <c r="C59" t="s">
        <v>17</v>
      </c>
      <c r="D59" s="1">
        <v>45021</v>
      </c>
      <c r="E59" s="1">
        <v>44962</v>
      </c>
      <c r="F59" t="s">
        <v>19</v>
      </c>
      <c r="G59">
        <v>-2</v>
      </c>
      <c r="H59">
        <v>2</v>
      </c>
      <c r="I59">
        <v>491.83</v>
      </c>
      <c r="L59">
        <v>3</v>
      </c>
    </row>
    <row r="60" spans="1:12" x14ac:dyDescent="0.35">
      <c r="A60">
        <v>59</v>
      </c>
      <c r="B60" t="s">
        <v>16</v>
      </c>
      <c r="C60" t="s">
        <v>13</v>
      </c>
      <c r="D60" s="1">
        <v>45206</v>
      </c>
      <c r="E60" s="1">
        <v>45091</v>
      </c>
      <c r="F60" t="s">
        <v>19</v>
      </c>
      <c r="G60">
        <v>6</v>
      </c>
      <c r="H60">
        <v>4</v>
      </c>
      <c r="I60">
        <v>407.16</v>
      </c>
      <c r="L60">
        <v>3</v>
      </c>
    </row>
    <row r="61" spans="1:12" x14ac:dyDescent="0.35">
      <c r="A61">
        <v>60</v>
      </c>
      <c r="B61" t="s">
        <v>12</v>
      </c>
      <c r="C61" t="s">
        <v>36</v>
      </c>
      <c r="D61" s="1">
        <v>45271</v>
      </c>
      <c r="E61" s="1">
        <v>45081</v>
      </c>
      <c r="F61" t="s">
        <v>28</v>
      </c>
      <c r="G61">
        <v>0</v>
      </c>
      <c r="H61">
        <v>1</v>
      </c>
      <c r="I61">
        <v>412.46</v>
      </c>
      <c r="L6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2945-CF50-4F5B-B043-EB183091E02B}">
  <dimension ref="A1:R61"/>
  <sheetViews>
    <sheetView topLeftCell="G1" zoomScale="104" zoomScaleNormal="176" workbookViewId="0">
      <selection activeCell="P13" sqref="P13"/>
    </sheetView>
  </sheetViews>
  <sheetFormatPr defaultRowHeight="14.5" x14ac:dyDescent="0.35"/>
  <cols>
    <col min="2" max="2" width="12.26953125" customWidth="1"/>
    <col min="4" max="4" width="11.81640625" style="2" customWidth="1"/>
    <col min="5" max="5" width="12.26953125" style="2" customWidth="1"/>
    <col min="6" max="6" width="16.90625" customWidth="1"/>
    <col min="7" max="7" width="8.6328125" customWidth="1"/>
    <col min="9" max="9" width="12.81640625" customWidth="1"/>
    <col min="11" max="11" width="13.6328125" customWidth="1"/>
    <col min="14" max="14" width="22.453125" customWidth="1"/>
    <col min="15" max="15" width="23.81640625" customWidth="1"/>
    <col min="17" max="17" width="14.54296875" bestFit="1" customWidth="1"/>
    <col min="18" max="18" width="13.36328125" customWidth="1"/>
  </cols>
  <sheetData>
    <row r="1" spans="1:18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62</v>
      </c>
      <c r="O1" t="s">
        <v>63</v>
      </c>
      <c r="Q1" t="s">
        <v>67</v>
      </c>
      <c r="R1" t="s">
        <v>69</v>
      </c>
    </row>
    <row r="2" spans="1:18" x14ac:dyDescent="0.35">
      <c r="A2">
        <v>1</v>
      </c>
      <c r="B2" t="s">
        <v>12</v>
      </c>
      <c r="C2" t="s">
        <v>13</v>
      </c>
      <c r="D2" s="2">
        <v>44947</v>
      </c>
      <c r="E2" s="2">
        <v>45160</v>
      </c>
      <c r="F2" t="s">
        <v>64</v>
      </c>
      <c r="G2">
        <v>2</v>
      </c>
      <c r="H2">
        <v>3</v>
      </c>
      <c r="I2">
        <v>121.74</v>
      </c>
      <c r="J2">
        <f>I2*Q2</f>
        <v>243.48</v>
      </c>
      <c r="L2" t="s">
        <v>68</v>
      </c>
      <c r="N2" t="str">
        <f>IF(B2="","N/A",(PROPER(TRIM(B2))))</f>
        <v>Bob Johnson</v>
      </c>
      <c r="O2" t="str">
        <f>IF(C2="","N/A",PROPER(TRIM(C2)))</f>
        <v>Brazil</v>
      </c>
      <c r="P2" t="s">
        <v>65</v>
      </c>
      <c r="Q2">
        <f>IF(G2&lt;=0,4,G2)</f>
        <v>2</v>
      </c>
      <c r="R2" t="b">
        <f>E2&gt;D2</f>
        <v>1</v>
      </c>
    </row>
    <row r="3" spans="1:18" x14ac:dyDescent="0.35">
      <c r="A3">
        <v>2</v>
      </c>
      <c r="B3" t="s">
        <v>16</v>
      </c>
      <c r="C3" t="s">
        <v>17</v>
      </c>
      <c r="D3" s="2">
        <v>45004</v>
      </c>
      <c r="E3" s="2">
        <v>45174</v>
      </c>
      <c r="F3" t="s">
        <v>19</v>
      </c>
      <c r="G3">
        <v>10</v>
      </c>
      <c r="H3">
        <v>1</v>
      </c>
      <c r="I3">
        <v>262.10000000000002</v>
      </c>
      <c r="J3">
        <f t="shared" ref="J3:J61" si="0">I3*Q3</f>
        <v>2621</v>
      </c>
      <c r="L3" t="s">
        <v>68</v>
      </c>
      <c r="N3" t="str">
        <f t="shared" ref="N3:N61" si="1">IF(B3="","N/A",(PROPER(TRIM(B3))))</f>
        <v>David Brown</v>
      </c>
      <c r="O3" t="str">
        <f t="shared" ref="O3:O61" si="2">IF(C3="","N/A",PROPER(TRIM(C3)))</f>
        <v>Spain</v>
      </c>
      <c r="P3" t="s">
        <v>66</v>
      </c>
      <c r="Q3">
        <f t="shared" ref="Q3:Q61" si="3">IF(G3&lt;=0,4,G3)</f>
        <v>10</v>
      </c>
      <c r="R3" t="b">
        <f>E3&gt;D3</f>
        <v>1</v>
      </c>
    </row>
    <row r="4" spans="1:18" x14ac:dyDescent="0.35">
      <c r="A4">
        <v>3</v>
      </c>
      <c r="B4" t="s">
        <v>20</v>
      </c>
      <c r="C4" t="s">
        <v>21</v>
      </c>
      <c r="D4" s="2">
        <v>45017</v>
      </c>
      <c r="E4" s="2">
        <v>44975</v>
      </c>
      <c r="F4" t="s">
        <v>22</v>
      </c>
      <c r="G4">
        <v>0</v>
      </c>
      <c r="H4">
        <v>2</v>
      </c>
      <c r="I4">
        <v>288.16000000000003</v>
      </c>
      <c r="J4">
        <f t="shared" si="0"/>
        <v>1152.6400000000001</v>
      </c>
      <c r="L4">
        <v>1</v>
      </c>
      <c r="N4" t="str">
        <f t="shared" si="1"/>
        <v>Alice Smith</v>
      </c>
      <c r="O4" t="str">
        <f t="shared" si="2"/>
        <v>Canada</v>
      </c>
      <c r="P4">
        <f>AVERAGE(G2:G61)</f>
        <v>3.8166666666666669</v>
      </c>
      <c r="Q4">
        <f t="shared" si="3"/>
        <v>4</v>
      </c>
      <c r="R4" t="b">
        <f t="shared" ref="R4:R61" si="4">E4&gt;D4</f>
        <v>0</v>
      </c>
    </row>
    <row r="5" spans="1:18" x14ac:dyDescent="0.35">
      <c r="A5">
        <v>4</v>
      </c>
      <c r="B5" t="s">
        <v>20</v>
      </c>
      <c r="C5" t="s">
        <v>17</v>
      </c>
      <c r="D5" s="2">
        <v>45248</v>
      </c>
      <c r="E5" s="2">
        <v>45242</v>
      </c>
      <c r="F5" t="s">
        <v>24</v>
      </c>
      <c r="G5">
        <v>0</v>
      </c>
      <c r="H5">
        <v>4</v>
      </c>
      <c r="I5">
        <v>273.20999999999998</v>
      </c>
      <c r="J5">
        <f t="shared" si="0"/>
        <v>1092.8399999999999</v>
      </c>
      <c r="L5">
        <v>1</v>
      </c>
      <c r="N5" t="str">
        <f t="shared" si="1"/>
        <v>Alice Smith</v>
      </c>
      <c r="O5" t="str">
        <f t="shared" si="2"/>
        <v>Spain</v>
      </c>
      <c r="Q5">
        <f t="shared" si="3"/>
        <v>4</v>
      </c>
      <c r="R5" t="b">
        <f t="shared" si="4"/>
        <v>0</v>
      </c>
    </row>
    <row r="6" spans="1:18" x14ac:dyDescent="0.35">
      <c r="A6">
        <v>5</v>
      </c>
      <c r="B6" t="s">
        <v>25</v>
      </c>
      <c r="C6" t="s">
        <v>21</v>
      </c>
      <c r="D6" s="2">
        <v>45080</v>
      </c>
      <c r="E6" s="2">
        <v>45147</v>
      </c>
      <c r="F6" t="s">
        <v>22</v>
      </c>
      <c r="G6">
        <v>-2</v>
      </c>
      <c r="H6">
        <v>3</v>
      </c>
      <c r="I6">
        <v>153.28</v>
      </c>
      <c r="J6">
        <f t="shared" si="0"/>
        <v>613.12</v>
      </c>
      <c r="L6">
        <v>5</v>
      </c>
      <c r="N6" t="str">
        <f t="shared" si="1"/>
        <v>Emily Davis</v>
      </c>
      <c r="O6" t="str">
        <f t="shared" si="2"/>
        <v>Canada</v>
      </c>
      <c r="Q6">
        <f t="shared" si="3"/>
        <v>4</v>
      </c>
      <c r="R6" t="b">
        <f t="shared" si="4"/>
        <v>1</v>
      </c>
    </row>
    <row r="7" spans="1:18" x14ac:dyDescent="0.35">
      <c r="A7">
        <v>6</v>
      </c>
      <c r="C7" t="s">
        <v>21</v>
      </c>
      <c r="D7" s="2">
        <v>45197</v>
      </c>
      <c r="E7" s="2">
        <v>44971</v>
      </c>
      <c r="F7" t="s">
        <v>24</v>
      </c>
      <c r="G7">
        <v>1</v>
      </c>
      <c r="H7">
        <v>2</v>
      </c>
      <c r="I7">
        <v>189.93</v>
      </c>
      <c r="J7">
        <f t="shared" si="0"/>
        <v>189.93</v>
      </c>
      <c r="L7">
        <v>1</v>
      </c>
      <c r="N7" t="str">
        <f t="shared" si="1"/>
        <v>N/A</v>
      </c>
      <c r="O7" t="str">
        <f t="shared" si="2"/>
        <v>Canada</v>
      </c>
      <c r="Q7">
        <f t="shared" si="3"/>
        <v>1</v>
      </c>
      <c r="R7" t="b">
        <f t="shared" si="4"/>
        <v>0</v>
      </c>
    </row>
    <row r="8" spans="1:18" x14ac:dyDescent="0.35">
      <c r="A8">
        <v>7</v>
      </c>
      <c r="B8" t="s">
        <v>20</v>
      </c>
      <c r="C8" t="s">
        <v>27</v>
      </c>
      <c r="D8" s="2">
        <v>45045</v>
      </c>
      <c r="E8" s="2">
        <v>44980</v>
      </c>
      <c r="F8" t="s">
        <v>28</v>
      </c>
      <c r="G8">
        <v>6</v>
      </c>
      <c r="H8">
        <v>4</v>
      </c>
      <c r="I8">
        <v>224.52</v>
      </c>
      <c r="J8">
        <f t="shared" si="0"/>
        <v>1347.1200000000001</v>
      </c>
      <c r="L8" t="s">
        <v>68</v>
      </c>
      <c r="N8" t="str">
        <f t="shared" si="1"/>
        <v>Alice Smith</v>
      </c>
      <c r="O8" t="str">
        <f t="shared" si="2"/>
        <v>India</v>
      </c>
      <c r="Q8">
        <f t="shared" si="3"/>
        <v>6</v>
      </c>
      <c r="R8" t="b">
        <f t="shared" si="4"/>
        <v>0</v>
      </c>
    </row>
    <row r="9" spans="1:18" x14ac:dyDescent="0.35">
      <c r="A9">
        <v>8</v>
      </c>
      <c r="D9" s="2">
        <v>45165</v>
      </c>
      <c r="E9" s="2">
        <v>45225</v>
      </c>
      <c r="F9" t="s">
        <v>28</v>
      </c>
      <c r="G9">
        <v>1</v>
      </c>
      <c r="H9">
        <v>2</v>
      </c>
      <c r="I9">
        <v>193.12</v>
      </c>
      <c r="J9">
        <f t="shared" si="0"/>
        <v>193.12</v>
      </c>
      <c r="L9">
        <v>3</v>
      </c>
      <c r="N9" t="str">
        <f t="shared" si="1"/>
        <v>N/A</v>
      </c>
      <c r="O9" t="str">
        <f t="shared" si="2"/>
        <v>N/A</v>
      </c>
      <c r="Q9">
        <f t="shared" si="3"/>
        <v>1</v>
      </c>
      <c r="R9" t="b">
        <f t="shared" si="4"/>
        <v>1</v>
      </c>
    </row>
    <row r="10" spans="1:18" x14ac:dyDescent="0.35">
      <c r="A10">
        <v>9</v>
      </c>
      <c r="B10" t="s">
        <v>25</v>
      </c>
      <c r="C10" t="s">
        <v>30</v>
      </c>
      <c r="D10" s="2">
        <v>45144</v>
      </c>
      <c r="E10" s="2">
        <v>45051</v>
      </c>
      <c r="F10" t="s">
        <v>19</v>
      </c>
      <c r="G10">
        <v>1</v>
      </c>
      <c r="H10">
        <v>2</v>
      </c>
      <c r="I10">
        <v>252.69</v>
      </c>
      <c r="J10">
        <f t="shared" si="0"/>
        <v>252.69</v>
      </c>
      <c r="L10">
        <v>2</v>
      </c>
      <c r="N10" t="str">
        <f t="shared" si="1"/>
        <v>Emily Davis</v>
      </c>
      <c r="O10" t="str">
        <f t="shared" si="2"/>
        <v>Usa</v>
      </c>
      <c r="Q10">
        <f t="shared" si="3"/>
        <v>1</v>
      </c>
      <c r="R10" t="b">
        <f t="shared" si="4"/>
        <v>0</v>
      </c>
    </row>
    <row r="11" spans="1:18" x14ac:dyDescent="0.35">
      <c r="A11">
        <v>10</v>
      </c>
      <c r="B11" t="s">
        <v>31</v>
      </c>
      <c r="C11" t="s">
        <v>21</v>
      </c>
      <c r="D11" s="2">
        <v>45267</v>
      </c>
      <c r="E11" s="2">
        <v>44993</v>
      </c>
      <c r="F11" t="s">
        <v>19</v>
      </c>
      <c r="G11">
        <v>4</v>
      </c>
      <c r="H11">
        <v>4</v>
      </c>
      <c r="I11">
        <v>234.9</v>
      </c>
      <c r="J11">
        <f t="shared" si="0"/>
        <v>939.6</v>
      </c>
      <c r="L11">
        <v>4</v>
      </c>
      <c r="N11" t="str">
        <f t="shared" si="1"/>
        <v>Irene Taylor</v>
      </c>
      <c r="O11" t="str">
        <f t="shared" si="2"/>
        <v>Canada</v>
      </c>
      <c r="Q11">
        <f t="shared" si="3"/>
        <v>4</v>
      </c>
      <c r="R11" t="b">
        <f t="shared" si="4"/>
        <v>0</v>
      </c>
    </row>
    <row r="12" spans="1:18" x14ac:dyDescent="0.35">
      <c r="A12">
        <v>11</v>
      </c>
      <c r="C12" t="s">
        <v>32</v>
      </c>
      <c r="D12" s="2">
        <v>45251</v>
      </c>
      <c r="E12" s="2">
        <v>45128</v>
      </c>
      <c r="F12" t="s">
        <v>19</v>
      </c>
      <c r="G12">
        <v>9</v>
      </c>
      <c r="H12">
        <v>2</v>
      </c>
      <c r="I12">
        <v>463.33</v>
      </c>
      <c r="J12">
        <f t="shared" si="0"/>
        <v>4169.97</v>
      </c>
      <c r="L12">
        <v>5</v>
      </c>
      <c r="N12" t="str">
        <f t="shared" si="1"/>
        <v>N/A</v>
      </c>
      <c r="O12" t="str">
        <f t="shared" si="2"/>
        <v>Australia</v>
      </c>
      <c r="Q12">
        <f t="shared" si="3"/>
        <v>9</v>
      </c>
      <c r="R12" t="b">
        <f t="shared" si="4"/>
        <v>0</v>
      </c>
    </row>
    <row r="13" spans="1:18" x14ac:dyDescent="0.35">
      <c r="A13">
        <v>12</v>
      </c>
      <c r="B13" t="s">
        <v>33</v>
      </c>
      <c r="C13" t="s">
        <v>34</v>
      </c>
      <c r="D13" s="2">
        <v>45225</v>
      </c>
      <c r="E13" s="2">
        <v>44985</v>
      </c>
      <c r="F13" t="s">
        <v>28</v>
      </c>
      <c r="G13">
        <v>2</v>
      </c>
      <c r="H13">
        <v>4</v>
      </c>
      <c r="I13">
        <v>290.26</v>
      </c>
      <c r="J13">
        <f t="shared" si="0"/>
        <v>580.52</v>
      </c>
      <c r="L13">
        <v>5</v>
      </c>
      <c r="N13" t="str">
        <f t="shared" si="1"/>
        <v>Henry Moore</v>
      </c>
      <c r="O13" t="str">
        <f t="shared" si="2"/>
        <v>Uk</v>
      </c>
      <c r="Q13">
        <f t="shared" si="3"/>
        <v>2</v>
      </c>
      <c r="R13" t="b">
        <f t="shared" si="4"/>
        <v>0</v>
      </c>
    </row>
    <row r="14" spans="1:18" x14ac:dyDescent="0.35">
      <c r="A14">
        <v>13</v>
      </c>
      <c r="B14" t="s">
        <v>20</v>
      </c>
      <c r="C14" t="s">
        <v>32</v>
      </c>
      <c r="D14" s="2">
        <v>45107</v>
      </c>
      <c r="E14" s="2">
        <v>45002</v>
      </c>
      <c r="F14" t="s">
        <v>64</v>
      </c>
      <c r="G14">
        <v>10</v>
      </c>
      <c r="H14">
        <v>1</v>
      </c>
      <c r="I14">
        <v>149.19</v>
      </c>
      <c r="J14">
        <f t="shared" si="0"/>
        <v>1491.9</v>
      </c>
      <c r="L14">
        <v>3</v>
      </c>
      <c r="N14" t="str">
        <f t="shared" si="1"/>
        <v>Alice Smith</v>
      </c>
      <c r="O14" t="str">
        <f t="shared" si="2"/>
        <v>Australia</v>
      </c>
      <c r="Q14">
        <f t="shared" si="3"/>
        <v>10</v>
      </c>
      <c r="R14" t="b">
        <f t="shared" si="4"/>
        <v>0</v>
      </c>
    </row>
    <row r="15" spans="1:18" x14ac:dyDescent="0.35">
      <c r="A15">
        <v>14</v>
      </c>
      <c r="C15" t="s">
        <v>36</v>
      </c>
      <c r="D15" s="2">
        <v>44995</v>
      </c>
      <c r="E15" s="2">
        <v>45120</v>
      </c>
      <c r="F15" t="s">
        <v>22</v>
      </c>
      <c r="G15">
        <v>8</v>
      </c>
      <c r="H15">
        <v>2</v>
      </c>
      <c r="I15">
        <v>199.65</v>
      </c>
      <c r="J15">
        <f t="shared" si="0"/>
        <v>1597.2</v>
      </c>
      <c r="L15">
        <v>5</v>
      </c>
      <c r="N15" t="str">
        <f t="shared" si="1"/>
        <v>N/A</v>
      </c>
      <c r="O15" t="str">
        <f t="shared" si="2"/>
        <v>Italy</v>
      </c>
      <c r="Q15">
        <f t="shared" si="3"/>
        <v>8</v>
      </c>
      <c r="R15" t="b">
        <f t="shared" si="4"/>
        <v>1</v>
      </c>
    </row>
    <row r="16" spans="1:18" x14ac:dyDescent="0.35">
      <c r="A16">
        <v>15</v>
      </c>
      <c r="B16" t="s">
        <v>38</v>
      </c>
      <c r="D16" s="2">
        <v>44938</v>
      </c>
      <c r="E16" s="2">
        <v>45191</v>
      </c>
      <c r="F16" t="s">
        <v>39</v>
      </c>
      <c r="G16">
        <v>6</v>
      </c>
      <c r="H16">
        <v>1</v>
      </c>
      <c r="I16">
        <v>261.08999999999997</v>
      </c>
      <c r="J16">
        <f t="shared" si="0"/>
        <v>1566.54</v>
      </c>
      <c r="L16">
        <v>5</v>
      </c>
      <c r="N16" t="str">
        <f t="shared" si="1"/>
        <v>Frank Miller</v>
      </c>
      <c r="O16" t="str">
        <f t="shared" si="2"/>
        <v>N/A</v>
      </c>
      <c r="Q16">
        <f t="shared" si="3"/>
        <v>6</v>
      </c>
      <c r="R16" t="b">
        <f t="shared" si="4"/>
        <v>1</v>
      </c>
    </row>
    <row r="17" spans="1:18" x14ac:dyDescent="0.35">
      <c r="A17">
        <v>16</v>
      </c>
      <c r="B17" t="s">
        <v>20</v>
      </c>
      <c r="C17" t="s">
        <v>34</v>
      </c>
      <c r="D17" s="2">
        <v>45120</v>
      </c>
      <c r="E17" s="2">
        <v>44992</v>
      </c>
      <c r="F17" t="s">
        <v>64</v>
      </c>
      <c r="G17">
        <v>2</v>
      </c>
      <c r="H17">
        <v>1</v>
      </c>
      <c r="I17">
        <v>200.49</v>
      </c>
      <c r="J17">
        <f t="shared" si="0"/>
        <v>400.98</v>
      </c>
      <c r="L17">
        <v>2</v>
      </c>
      <c r="N17" t="str">
        <f t="shared" si="1"/>
        <v>Alice Smith</v>
      </c>
      <c r="O17" t="str">
        <f t="shared" si="2"/>
        <v>Uk</v>
      </c>
      <c r="Q17">
        <f t="shared" si="3"/>
        <v>2</v>
      </c>
      <c r="R17" t="b">
        <f t="shared" si="4"/>
        <v>0</v>
      </c>
    </row>
    <row r="18" spans="1:18" x14ac:dyDescent="0.35">
      <c r="A18">
        <v>17</v>
      </c>
      <c r="B18" t="s">
        <v>20</v>
      </c>
      <c r="C18" t="s">
        <v>36</v>
      </c>
      <c r="D18" s="2">
        <v>45260</v>
      </c>
      <c r="E18" s="2">
        <v>44945</v>
      </c>
      <c r="F18" t="s">
        <v>28</v>
      </c>
      <c r="G18">
        <v>6</v>
      </c>
      <c r="H18">
        <v>2</v>
      </c>
      <c r="I18">
        <v>300.08</v>
      </c>
      <c r="J18">
        <f t="shared" si="0"/>
        <v>1800.48</v>
      </c>
      <c r="L18">
        <v>4</v>
      </c>
      <c r="N18" t="str">
        <f t="shared" si="1"/>
        <v>Alice Smith</v>
      </c>
      <c r="O18" t="str">
        <f t="shared" si="2"/>
        <v>Italy</v>
      </c>
      <c r="Q18">
        <f t="shared" si="3"/>
        <v>6</v>
      </c>
      <c r="R18" t="b">
        <f t="shared" si="4"/>
        <v>0</v>
      </c>
    </row>
    <row r="19" spans="1:18" x14ac:dyDescent="0.35">
      <c r="A19">
        <v>18</v>
      </c>
      <c r="B19" t="s">
        <v>31</v>
      </c>
      <c r="C19" t="s">
        <v>32</v>
      </c>
      <c r="D19" s="2">
        <v>45115</v>
      </c>
      <c r="E19" s="2">
        <v>44966</v>
      </c>
      <c r="F19" t="s">
        <v>24</v>
      </c>
      <c r="G19">
        <v>8</v>
      </c>
      <c r="H19">
        <v>4</v>
      </c>
      <c r="I19">
        <v>465.92</v>
      </c>
      <c r="J19">
        <f t="shared" si="0"/>
        <v>3727.36</v>
      </c>
      <c r="L19" t="s">
        <v>68</v>
      </c>
      <c r="N19" t="str">
        <f t="shared" si="1"/>
        <v>Irene Taylor</v>
      </c>
      <c r="O19" t="str">
        <f t="shared" si="2"/>
        <v>Australia</v>
      </c>
      <c r="Q19">
        <f t="shared" si="3"/>
        <v>8</v>
      </c>
      <c r="R19" t="b">
        <f t="shared" si="4"/>
        <v>0</v>
      </c>
    </row>
    <row r="20" spans="1:18" x14ac:dyDescent="0.35">
      <c r="A20">
        <v>19</v>
      </c>
      <c r="C20" t="s">
        <v>30</v>
      </c>
      <c r="D20" s="2">
        <v>45029</v>
      </c>
      <c r="E20" s="2">
        <v>45097</v>
      </c>
      <c r="F20" t="s">
        <v>28</v>
      </c>
      <c r="G20">
        <v>0</v>
      </c>
      <c r="H20">
        <v>3</v>
      </c>
      <c r="I20">
        <v>241.42</v>
      </c>
      <c r="J20">
        <f t="shared" si="0"/>
        <v>965.68</v>
      </c>
      <c r="L20">
        <v>4</v>
      </c>
      <c r="N20" t="str">
        <f t="shared" si="1"/>
        <v>N/A</v>
      </c>
      <c r="O20" t="str">
        <f t="shared" si="2"/>
        <v>Usa</v>
      </c>
      <c r="Q20">
        <f t="shared" si="3"/>
        <v>4</v>
      </c>
      <c r="R20" t="b">
        <f t="shared" si="4"/>
        <v>1</v>
      </c>
    </row>
    <row r="21" spans="1:18" x14ac:dyDescent="0.35">
      <c r="A21">
        <v>20</v>
      </c>
      <c r="B21" t="s">
        <v>16</v>
      </c>
      <c r="C21" t="s">
        <v>36</v>
      </c>
      <c r="D21" s="2">
        <v>44994</v>
      </c>
      <c r="E21" s="2">
        <v>45005</v>
      </c>
      <c r="F21" t="s">
        <v>28</v>
      </c>
      <c r="G21">
        <v>3</v>
      </c>
      <c r="H21">
        <v>3</v>
      </c>
      <c r="I21">
        <v>453.19</v>
      </c>
      <c r="J21">
        <f t="shared" si="0"/>
        <v>1359.57</v>
      </c>
      <c r="L21" t="s">
        <v>68</v>
      </c>
      <c r="N21" t="str">
        <f t="shared" si="1"/>
        <v>David Brown</v>
      </c>
      <c r="O21" t="str">
        <f t="shared" si="2"/>
        <v>Italy</v>
      </c>
      <c r="Q21">
        <f t="shared" si="3"/>
        <v>3</v>
      </c>
      <c r="R21" t="b">
        <f t="shared" si="4"/>
        <v>1</v>
      </c>
    </row>
    <row r="22" spans="1:18" x14ac:dyDescent="0.35">
      <c r="A22">
        <v>21</v>
      </c>
      <c r="B22" t="s">
        <v>16</v>
      </c>
      <c r="C22" t="s">
        <v>30</v>
      </c>
      <c r="D22" s="2">
        <v>45157</v>
      </c>
      <c r="E22" s="2">
        <v>45274</v>
      </c>
      <c r="F22" t="s">
        <v>28</v>
      </c>
      <c r="G22">
        <v>4</v>
      </c>
      <c r="H22">
        <v>1</v>
      </c>
      <c r="I22">
        <v>67.98</v>
      </c>
      <c r="J22">
        <f t="shared" si="0"/>
        <v>271.92</v>
      </c>
      <c r="L22">
        <v>3</v>
      </c>
      <c r="N22" t="str">
        <f t="shared" si="1"/>
        <v>David Brown</v>
      </c>
      <c r="O22" t="str">
        <f t="shared" si="2"/>
        <v>Usa</v>
      </c>
      <c r="Q22">
        <f t="shared" si="3"/>
        <v>4</v>
      </c>
      <c r="R22" t="b">
        <f t="shared" si="4"/>
        <v>1</v>
      </c>
    </row>
    <row r="23" spans="1:18" x14ac:dyDescent="0.35">
      <c r="A23">
        <v>22</v>
      </c>
      <c r="B23" t="s">
        <v>42</v>
      </c>
      <c r="C23" t="s">
        <v>34</v>
      </c>
      <c r="D23" s="2">
        <v>45155</v>
      </c>
      <c r="E23" s="2">
        <v>45090</v>
      </c>
      <c r="F23" t="s">
        <v>28</v>
      </c>
      <c r="G23">
        <v>10</v>
      </c>
      <c r="H23">
        <v>1</v>
      </c>
      <c r="I23">
        <v>333.38</v>
      </c>
      <c r="J23">
        <f t="shared" si="0"/>
        <v>3333.8</v>
      </c>
      <c r="L23" t="s">
        <v>68</v>
      </c>
      <c r="N23" t="str">
        <f t="shared" si="1"/>
        <v>Grace Wilson</v>
      </c>
      <c r="O23" t="str">
        <f t="shared" si="2"/>
        <v>Uk</v>
      </c>
      <c r="Q23">
        <f t="shared" si="3"/>
        <v>10</v>
      </c>
      <c r="R23" t="b">
        <f t="shared" si="4"/>
        <v>0</v>
      </c>
    </row>
    <row r="24" spans="1:18" x14ac:dyDescent="0.35">
      <c r="A24">
        <v>23</v>
      </c>
      <c r="B24" t="s">
        <v>20</v>
      </c>
      <c r="C24" t="s">
        <v>32</v>
      </c>
      <c r="D24" s="2">
        <v>45120</v>
      </c>
      <c r="E24" s="2">
        <v>44971</v>
      </c>
      <c r="F24" t="s">
        <v>19</v>
      </c>
      <c r="G24">
        <v>3</v>
      </c>
      <c r="H24">
        <v>2</v>
      </c>
      <c r="I24">
        <v>228.6</v>
      </c>
      <c r="J24">
        <f t="shared" si="0"/>
        <v>685.8</v>
      </c>
      <c r="L24" t="s">
        <v>68</v>
      </c>
      <c r="N24" t="str">
        <f t="shared" si="1"/>
        <v>Alice Smith</v>
      </c>
      <c r="O24" t="str">
        <f t="shared" si="2"/>
        <v>Australia</v>
      </c>
      <c r="Q24">
        <f t="shared" si="3"/>
        <v>3</v>
      </c>
      <c r="R24" t="b">
        <f t="shared" si="4"/>
        <v>0</v>
      </c>
    </row>
    <row r="25" spans="1:18" x14ac:dyDescent="0.35">
      <c r="A25">
        <v>24</v>
      </c>
      <c r="B25" t="s">
        <v>25</v>
      </c>
      <c r="C25" t="s">
        <v>46</v>
      </c>
      <c r="D25" s="2">
        <v>45227</v>
      </c>
      <c r="E25" s="2">
        <v>44958</v>
      </c>
      <c r="F25" t="s">
        <v>64</v>
      </c>
      <c r="G25">
        <v>-2</v>
      </c>
      <c r="H25">
        <v>4</v>
      </c>
      <c r="I25">
        <v>362.87</v>
      </c>
      <c r="J25">
        <f t="shared" si="0"/>
        <v>1451.48</v>
      </c>
      <c r="L25">
        <v>5</v>
      </c>
      <c r="N25" t="str">
        <f t="shared" si="1"/>
        <v>Emily Davis</v>
      </c>
      <c r="O25" t="str">
        <f t="shared" si="2"/>
        <v>Germany</v>
      </c>
      <c r="Q25">
        <f t="shared" si="3"/>
        <v>4</v>
      </c>
      <c r="R25" t="b">
        <f t="shared" si="4"/>
        <v>0</v>
      </c>
    </row>
    <row r="26" spans="1:18" x14ac:dyDescent="0.35">
      <c r="A26">
        <v>25</v>
      </c>
      <c r="B26" t="s">
        <v>47</v>
      </c>
      <c r="C26" t="s">
        <v>13</v>
      </c>
      <c r="D26" s="2">
        <v>44965</v>
      </c>
      <c r="E26" s="2">
        <v>45162</v>
      </c>
      <c r="F26" t="s">
        <v>64</v>
      </c>
      <c r="G26">
        <v>-1</v>
      </c>
      <c r="H26">
        <v>3</v>
      </c>
      <c r="I26">
        <v>296.64999999999998</v>
      </c>
      <c r="J26">
        <f t="shared" si="0"/>
        <v>1186.5999999999999</v>
      </c>
      <c r="L26">
        <v>1</v>
      </c>
      <c r="N26" t="str">
        <f t="shared" si="1"/>
        <v>John Doe</v>
      </c>
      <c r="O26" t="str">
        <f t="shared" si="2"/>
        <v>Brazil</v>
      </c>
      <c r="Q26">
        <f t="shared" si="3"/>
        <v>4</v>
      </c>
      <c r="R26" t="b">
        <f t="shared" si="4"/>
        <v>1</v>
      </c>
    </row>
    <row r="27" spans="1:18" x14ac:dyDescent="0.35">
      <c r="A27">
        <v>26</v>
      </c>
      <c r="B27" t="s">
        <v>49</v>
      </c>
      <c r="C27" t="s">
        <v>46</v>
      </c>
      <c r="D27" s="2">
        <v>44966</v>
      </c>
      <c r="E27" s="2">
        <v>45099</v>
      </c>
      <c r="F27" t="s">
        <v>24</v>
      </c>
      <c r="G27">
        <v>0</v>
      </c>
      <c r="H27">
        <v>2</v>
      </c>
      <c r="I27">
        <v>229.57</v>
      </c>
      <c r="J27">
        <f t="shared" si="0"/>
        <v>918.28</v>
      </c>
      <c r="L27" t="s">
        <v>68</v>
      </c>
      <c r="N27" t="str">
        <f t="shared" si="1"/>
        <v>Carol White</v>
      </c>
      <c r="O27" t="str">
        <f t="shared" si="2"/>
        <v>Germany</v>
      </c>
      <c r="Q27">
        <f t="shared" si="3"/>
        <v>4</v>
      </c>
      <c r="R27" t="b">
        <f t="shared" si="4"/>
        <v>1</v>
      </c>
    </row>
    <row r="28" spans="1:18" x14ac:dyDescent="0.35">
      <c r="A28">
        <v>27</v>
      </c>
      <c r="B28" t="s">
        <v>31</v>
      </c>
      <c r="D28" s="2">
        <v>45206</v>
      </c>
      <c r="E28" s="2">
        <v>45245</v>
      </c>
      <c r="F28" t="s">
        <v>19</v>
      </c>
      <c r="G28">
        <v>4</v>
      </c>
      <c r="H28">
        <v>3</v>
      </c>
      <c r="I28">
        <v>206.26</v>
      </c>
      <c r="J28">
        <f t="shared" si="0"/>
        <v>825.04</v>
      </c>
      <c r="L28">
        <v>2</v>
      </c>
      <c r="N28" t="str">
        <f t="shared" si="1"/>
        <v>Irene Taylor</v>
      </c>
      <c r="O28" t="str">
        <f t="shared" si="2"/>
        <v>N/A</v>
      </c>
      <c r="Q28">
        <f t="shared" si="3"/>
        <v>4</v>
      </c>
      <c r="R28" t="b">
        <f t="shared" si="4"/>
        <v>1</v>
      </c>
    </row>
    <row r="29" spans="1:18" x14ac:dyDescent="0.35">
      <c r="A29">
        <v>28</v>
      </c>
      <c r="B29" t="s">
        <v>16</v>
      </c>
      <c r="C29" t="s">
        <v>27</v>
      </c>
      <c r="D29" s="2">
        <v>45063</v>
      </c>
      <c r="E29" s="2">
        <v>44944</v>
      </c>
      <c r="F29" t="s">
        <v>22</v>
      </c>
      <c r="G29">
        <v>7</v>
      </c>
      <c r="H29">
        <v>4</v>
      </c>
      <c r="I29">
        <v>351.99</v>
      </c>
      <c r="J29">
        <f t="shared" si="0"/>
        <v>2463.9300000000003</v>
      </c>
      <c r="L29">
        <v>3</v>
      </c>
      <c r="N29" t="str">
        <f t="shared" si="1"/>
        <v>David Brown</v>
      </c>
      <c r="O29" t="str">
        <f t="shared" si="2"/>
        <v>India</v>
      </c>
      <c r="Q29">
        <f t="shared" si="3"/>
        <v>7</v>
      </c>
      <c r="R29" t="b">
        <f t="shared" si="4"/>
        <v>0</v>
      </c>
    </row>
    <row r="30" spans="1:18" x14ac:dyDescent="0.35">
      <c r="A30">
        <v>29</v>
      </c>
      <c r="B30" t="s">
        <v>31</v>
      </c>
      <c r="D30" s="2">
        <v>44955</v>
      </c>
      <c r="E30" s="2">
        <v>45010</v>
      </c>
      <c r="F30" t="s">
        <v>19</v>
      </c>
      <c r="G30">
        <v>0</v>
      </c>
      <c r="H30">
        <v>4</v>
      </c>
      <c r="I30">
        <v>299.86</v>
      </c>
      <c r="J30">
        <f t="shared" si="0"/>
        <v>1199.44</v>
      </c>
      <c r="L30" t="s">
        <v>68</v>
      </c>
      <c r="N30" t="str">
        <f t="shared" si="1"/>
        <v>Irene Taylor</v>
      </c>
      <c r="O30" t="str">
        <f t="shared" si="2"/>
        <v>N/A</v>
      </c>
      <c r="Q30">
        <f t="shared" si="3"/>
        <v>4</v>
      </c>
      <c r="R30" t="b">
        <f t="shared" si="4"/>
        <v>1</v>
      </c>
    </row>
    <row r="31" spans="1:18" x14ac:dyDescent="0.35">
      <c r="A31">
        <v>30</v>
      </c>
      <c r="B31" t="s">
        <v>25</v>
      </c>
      <c r="C31" t="s">
        <v>46</v>
      </c>
      <c r="D31" s="2">
        <v>45229</v>
      </c>
      <c r="E31" s="2">
        <v>45262</v>
      </c>
      <c r="F31" t="s">
        <v>22</v>
      </c>
      <c r="G31">
        <v>9</v>
      </c>
      <c r="H31">
        <v>2</v>
      </c>
      <c r="I31">
        <v>388.97</v>
      </c>
      <c r="J31">
        <f t="shared" si="0"/>
        <v>3500.7300000000005</v>
      </c>
      <c r="L31" t="s">
        <v>68</v>
      </c>
      <c r="N31" t="str">
        <f t="shared" si="1"/>
        <v>Emily Davis</v>
      </c>
      <c r="O31" t="str">
        <f t="shared" si="2"/>
        <v>Germany</v>
      </c>
      <c r="Q31">
        <f t="shared" si="3"/>
        <v>9</v>
      </c>
      <c r="R31" t="b">
        <f t="shared" si="4"/>
        <v>1</v>
      </c>
    </row>
    <row r="32" spans="1:18" x14ac:dyDescent="0.35">
      <c r="A32">
        <v>31</v>
      </c>
      <c r="C32" t="s">
        <v>13</v>
      </c>
      <c r="D32" s="2">
        <v>45256</v>
      </c>
      <c r="E32" s="2">
        <v>44934</v>
      </c>
      <c r="F32" t="s">
        <v>64</v>
      </c>
      <c r="G32">
        <v>8</v>
      </c>
      <c r="H32">
        <v>2</v>
      </c>
      <c r="I32">
        <v>134.63</v>
      </c>
      <c r="J32">
        <f t="shared" si="0"/>
        <v>1077.04</v>
      </c>
      <c r="L32" t="s">
        <v>68</v>
      </c>
      <c r="N32" t="str">
        <f t="shared" si="1"/>
        <v>N/A</v>
      </c>
      <c r="O32" t="str">
        <f t="shared" si="2"/>
        <v>Brazil</v>
      </c>
      <c r="Q32">
        <f t="shared" si="3"/>
        <v>8</v>
      </c>
      <c r="R32" t="b">
        <f t="shared" si="4"/>
        <v>0</v>
      </c>
    </row>
    <row r="33" spans="1:18" x14ac:dyDescent="0.35">
      <c r="A33">
        <v>32</v>
      </c>
      <c r="B33" t="s">
        <v>47</v>
      </c>
      <c r="C33" t="s">
        <v>32</v>
      </c>
      <c r="D33" s="2">
        <v>45188</v>
      </c>
      <c r="E33" s="2">
        <v>45160</v>
      </c>
      <c r="F33" t="s">
        <v>22</v>
      </c>
      <c r="G33">
        <v>10</v>
      </c>
      <c r="H33">
        <v>1</v>
      </c>
      <c r="I33">
        <v>119.75</v>
      </c>
      <c r="J33">
        <f t="shared" si="0"/>
        <v>1197.5</v>
      </c>
      <c r="L33">
        <v>4</v>
      </c>
      <c r="N33" t="str">
        <f t="shared" si="1"/>
        <v>John Doe</v>
      </c>
      <c r="O33" t="str">
        <f t="shared" si="2"/>
        <v>Australia</v>
      </c>
      <c r="Q33">
        <f t="shared" si="3"/>
        <v>10</v>
      </c>
      <c r="R33" t="b">
        <f t="shared" si="4"/>
        <v>0</v>
      </c>
    </row>
    <row r="34" spans="1:18" x14ac:dyDescent="0.35">
      <c r="A34">
        <v>33</v>
      </c>
      <c r="B34" t="s">
        <v>12</v>
      </c>
      <c r="C34" t="s">
        <v>36</v>
      </c>
      <c r="D34" s="2">
        <v>45117</v>
      </c>
      <c r="E34" s="2">
        <v>45124</v>
      </c>
      <c r="F34" t="s">
        <v>24</v>
      </c>
      <c r="G34">
        <v>4</v>
      </c>
      <c r="H34">
        <v>2</v>
      </c>
      <c r="I34">
        <v>206.89</v>
      </c>
      <c r="J34">
        <f t="shared" si="0"/>
        <v>827.56</v>
      </c>
      <c r="L34">
        <v>4</v>
      </c>
      <c r="N34" t="str">
        <f t="shared" si="1"/>
        <v>Bob Johnson</v>
      </c>
      <c r="O34" t="str">
        <f t="shared" si="2"/>
        <v>Italy</v>
      </c>
      <c r="Q34">
        <f t="shared" si="3"/>
        <v>4</v>
      </c>
      <c r="R34" t="b">
        <f t="shared" si="4"/>
        <v>1</v>
      </c>
    </row>
    <row r="35" spans="1:18" x14ac:dyDescent="0.35">
      <c r="A35">
        <v>34</v>
      </c>
      <c r="B35" t="s">
        <v>49</v>
      </c>
      <c r="C35" t="s">
        <v>34</v>
      </c>
      <c r="D35" s="2">
        <v>45196</v>
      </c>
      <c r="E35" s="2">
        <v>45082</v>
      </c>
      <c r="F35" t="s">
        <v>64</v>
      </c>
      <c r="G35">
        <v>5</v>
      </c>
      <c r="H35">
        <v>1</v>
      </c>
      <c r="I35">
        <v>289.64999999999998</v>
      </c>
      <c r="J35">
        <f t="shared" si="0"/>
        <v>1448.25</v>
      </c>
      <c r="L35">
        <v>2</v>
      </c>
      <c r="N35" t="str">
        <f t="shared" si="1"/>
        <v>Carol White</v>
      </c>
      <c r="O35" t="str">
        <f t="shared" si="2"/>
        <v>Uk</v>
      </c>
      <c r="Q35">
        <f t="shared" si="3"/>
        <v>5</v>
      </c>
      <c r="R35" t="b">
        <f t="shared" si="4"/>
        <v>0</v>
      </c>
    </row>
    <row r="36" spans="1:18" x14ac:dyDescent="0.35">
      <c r="A36">
        <v>35</v>
      </c>
      <c r="B36" t="s">
        <v>42</v>
      </c>
      <c r="C36" t="s">
        <v>30</v>
      </c>
      <c r="D36" s="2">
        <v>44929</v>
      </c>
      <c r="E36" s="2">
        <v>45271</v>
      </c>
      <c r="F36" t="s">
        <v>39</v>
      </c>
      <c r="G36">
        <v>6</v>
      </c>
      <c r="H36">
        <v>3</v>
      </c>
      <c r="I36">
        <v>219.2</v>
      </c>
      <c r="J36">
        <f t="shared" si="0"/>
        <v>1315.1999999999998</v>
      </c>
      <c r="L36">
        <v>4</v>
      </c>
      <c r="N36" t="str">
        <f t="shared" si="1"/>
        <v>Grace Wilson</v>
      </c>
      <c r="O36" t="str">
        <f t="shared" si="2"/>
        <v>Usa</v>
      </c>
      <c r="Q36">
        <f t="shared" si="3"/>
        <v>6</v>
      </c>
      <c r="R36" t="b">
        <f t="shared" si="4"/>
        <v>1</v>
      </c>
    </row>
    <row r="37" spans="1:18" x14ac:dyDescent="0.35">
      <c r="A37">
        <v>36</v>
      </c>
      <c r="B37" t="s">
        <v>12</v>
      </c>
      <c r="C37" t="s">
        <v>13</v>
      </c>
      <c r="D37" s="2">
        <v>45006</v>
      </c>
      <c r="E37" s="2">
        <v>45250</v>
      </c>
      <c r="F37" t="s">
        <v>64</v>
      </c>
      <c r="G37">
        <v>5</v>
      </c>
      <c r="H37">
        <v>3</v>
      </c>
      <c r="I37">
        <v>138.34</v>
      </c>
      <c r="J37">
        <f t="shared" si="0"/>
        <v>691.7</v>
      </c>
      <c r="L37">
        <v>1</v>
      </c>
      <c r="N37" t="str">
        <f t="shared" si="1"/>
        <v>Bob Johnson</v>
      </c>
      <c r="O37" t="str">
        <f t="shared" si="2"/>
        <v>Brazil</v>
      </c>
      <c r="Q37">
        <f t="shared" si="3"/>
        <v>5</v>
      </c>
      <c r="R37" t="b">
        <f t="shared" si="4"/>
        <v>1</v>
      </c>
    </row>
    <row r="38" spans="1:18" x14ac:dyDescent="0.35">
      <c r="A38">
        <v>37</v>
      </c>
      <c r="B38" t="s">
        <v>38</v>
      </c>
      <c r="C38" t="s">
        <v>36</v>
      </c>
      <c r="D38" s="2">
        <v>45224</v>
      </c>
      <c r="E38" s="2">
        <v>44952</v>
      </c>
      <c r="F38" t="s">
        <v>64</v>
      </c>
      <c r="G38">
        <v>6</v>
      </c>
      <c r="H38">
        <v>4</v>
      </c>
      <c r="I38">
        <v>444.01</v>
      </c>
      <c r="J38">
        <f t="shared" si="0"/>
        <v>2664.06</v>
      </c>
      <c r="L38">
        <v>2</v>
      </c>
      <c r="N38" t="str">
        <f t="shared" si="1"/>
        <v>Frank Miller</v>
      </c>
      <c r="O38" t="str">
        <f t="shared" si="2"/>
        <v>Italy</v>
      </c>
      <c r="Q38">
        <f t="shared" si="3"/>
        <v>6</v>
      </c>
      <c r="R38" t="b">
        <f t="shared" si="4"/>
        <v>0</v>
      </c>
    </row>
    <row r="39" spans="1:18" x14ac:dyDescent="0.35">
      <c r="A39">
        <v>38</v>
      </c>
      <c r="D39" s="2">
        <v>45139</v>
      </c>
      <c r="E39" s="2">
        <v>44947</v>
      </c>
      <c r="F39" t="s">
        <v>22</v>
      </c>
      <c r="G39">
        <v>7</v>
      </c>
      <c r="H39">
        <v>3</v>
      </c>
      <c r="I39">
        <v>252.63</v>
      </c>
      <c r="J39">
        <f t="shared" si="0"/>
        <v>1768.4099999999999</v>
      </c>
      <c r="L39" t="s">
        <v>68</v>
      </c>
      <c r="N39" t="str">
        <f t="shared" si="1"/>
        <v>N/A</v>
      </c>
      <c r="O39" t="str">
        <f t="shared" si="2"/>
        <v>N/A</v>
      </c>
      <c r="Q39">
        <f t="shared" si="3"/>
        <v>7</v>
      </c>
      <c r="R39" t="b">
        <f t="shared" si="4"/>
        <v>0</v>
      </c>
    </row>
    <row r="40" spans="1:18" x14ac:dyDescent="0.35">
      <c r="A40">
        <v>39</v>
      </c>
      <c r="B40" t="s">
        <v>16</v>
      </c>
      <c r="D40" s="2">
        <v>45259</v>
      </c>
      <c r="E40" s="2">
        <v>45159</v>
      </c>
      <c r="F40" t="s">
        <v>28</v>
      </c>
      <c r="G40">
        <v>9</v>
      </c>
      <c r="H40">
        <v>2</v>
      </c>
      <c r="I40">
        <v>450.03</v>
      </c>
      <c r="J40">
        <f t="shared" si="0"/>
        <v>4050.2699999999995</v>
      </c>
      <c r="L40">
        <v>1</v>
      </c>
      <c r="N40" t="str">
        <f t="shared" si="1"/>
        <v>David Brown</v>
      </c>
      <c r="O40" t="str">
        <f t="shared" si="2"/>
        <v>N/A</v>
      </c>
      <c r="Q40">
        <f t="shared" si="3"/>
        <v>9</v>
      </c>
      <c r="R40" t="b">
        <f t="shared" si="4"/>
        <v>0</v>
      </c>
    </row>
    <row r="41" spans="1:18" x14ac:dyDescent="0.35">
      <c r="A41">
        <v>40</v>
      </c>
      <c r="B41" t="s">
        <v>25</v>
      </c>
      <c r="C41" t="s">
        <v>56</v>
      </c>
      <c r="D41" s="2">
        <v>45172</v>
      </c>
      <c r="E41" s="2">
        <v>44947</v>
      </c>
      <c r="F41" t="s">
        <v>24</v>
      </c>
      <c r="G41">
        <v>2</v>
      </c>
      <c r="H41">
        <v>1</v>
      </c>
      <c r="I41">
        <v>120.39</v>
      </c>
      <c r="J41">
        <f t="shared" si="0"/>
        <v>240.78</v>
      </c>
      <c r="L41">
        <v>1</v>
      </c>
      <c r="N41" t="str">
        <f t="shared" si="1"/>
        <v>Emily Davis</v>
      </c>
      <c r="O41" t="str">
        <f t="shared" si="2"/>
        <v>France</v>
      </c>
      <c r="Q41">
        <f t="shared" si="3"/>
        <v>2</v>
      </c>
      <c r="R41" t="b">
        <f t="shared" si="4"/>
        <v>0</v>
      </c>
    </row>
    <row r="42" spans="1:18" x14ac:dyDescent="0.35">
      <c r="A42">
        <v>41</v>
      </c>
      <c r="B42" t="s">
        <v>16</v>
      </c>
      <c r="C42" t="s">
        <v>56</v>
      </c>
      <c r="D42" s="2">
        <v>45052</v>
      </c>
      <c r="E42" s="2">
        <v>45288</v>
      </c>
      <c r="F42" t="s">
        <v>64</v>
      </c>
      <c r="G42">
        <v>7</v>
      </c>
      <c r="H42">
        <v>2</v>
      </c>
      <c r="I42">
        <v>196.64</v>
      </c>
      <c r="J42">
        <f t="shared" si="0"/>
        <v>1376.48</v>
      </c>
      <c r="L42">
        <v>4</v>
      </c>
      <c r="N42" t="str">
        <f t="shared" si="1"/>
        <v>David Brown</v>
      </c>
      <c r="O42" t="str">
        <f t="shared" si="2"/>
        <v>France</v>
      </c>
      <c r="Q42">
        <f t="shared" si="3"/>
        <v>7</v>
      </c>
      <c r="R42" t="b">
        <f t="shared" si="4"/>
        <v>1</v>
      </c>
    </row>
    <row r="43" spans="1:18" x14ac:dyDescent="0.35">
      <c r="A43">
        <v>42</v>
      </c>
      <c r="B43" t="s">
        <v>33</v>
      </c>
      <c r="C43" t="s">
        <v>13</v>
      </c>
      <c r="D43" s="2">
        <v>45264</v>
      </c>
      <c r="E43" s="2">
        <v>45214</v>
      </c>
      <c r="F43" t="s">
        <v>22</v>
      </c>
      <c r="G43">
        <v>4</v>
      </c>
      <c r="H43">
        <v>1</v>
      </c>
      <c r="I43">
        <v>451.76</v>
      </c>
      <c r="J43">
        <f t="shared" si="0"/>
        <v>1807.04</v>
      </c>
      <c r="L43">
        <v>2</v>
      </c>
      <c r="N43" t="str">
        <f t="shared" si="1"/>
        <v>Henry Moore</v>
      </c>
      <c r="O43" t="str">
        <f t="shared" si="2"/>
        <v>Brazil</v>
      </c>
      <c r="Q43">
        <f t="shared" si="3"/>
        <v>4</v>
      </c>
      <c r="R43" t="b">
        <f t="shared" si="4"/>
        <v>0</v>
      </c>
    </row>
    <row r="44" spans="1:18" x14ac:dyDescent="0.35">
      <c r="A44">
        <v>43</v>
      </c>
      <c r="B44" t="s">
        <v>49</v>
      </c>
      <c r="C44" t="s">
        <v>46</v>
      </c>
      <c r="D44" s="2">
        <v>45051</v>
      </c>
      <c r="E44" s="2">
        <v>45260</v>
      </c>
      <c r="F44" t="s">
        <v>22</v>
      </c>
      <c r="G44">
        <v>1</v>
      </c>
      <c r="H44">
        <v>1</v>
      </c>
      <c r="I44">
        <v>376.69</v>
      </c>
      <c r="J44">
        <f t="shared" si="0"/>
        <v>376.69</v>
      </c>
      <c r="L44">
        <v>2</v>
      </c>
      <c r="N44" t="str">
        <f t="shared" si="1"/>
        <v>Carol White</v>
      </c>
      <c r="O44" t="str">
        <f t="shared" si="2"/>
        <v>Germany</v>
      </c>
      <c r="Q44">
        <f t="shared" si="3"/>
        <v>1</v>
      </c>
      <c r="R44" t="b">
        <f t="shared" si="4"/>
        <v>1</v>
      </c>
    </row>
    <row r="45" spans="1:18" x14ac:dyDescent="0.35">
      <c r="A45">
        <v>44</v>
      </c>
      <c r="B45" t="s">
        <v>31</v>
      </c>
      <c r="C45" t="s">
        <v>56</v>
      </c>
      <c r="D45" s="2">
        <v>45055</v>
      </c>
      <c r="E45" s="2">
        <v>45266</v>
      </c>
      <c r="F45" t="s">
        <v>22</v>
      </c>
      <c r="G45">
        <v>3</v>
      </c>
      <c r="H45">
        <v>1</v>
      </c>
      <c r="I45">
        <v>225.84</v>
      </c>
      <c r="J45">
        <f t="shared" si="0"/>
        <v>677.52</v>
      </c>
      <c r="L45">
        <v>5</v>
      </c>
      <c r="N45" t="str">
        <f t="shared" si="1"/>
        <v>Irene Taylor</v>
      </c>
      <c r="O45" t="str">
        <f t="shared" si="2"/>
        <v>France</v>
      </c>
      <c r="Q45">
        <f t="shared" si="3"/>
        <v>3</v>
      </c>
      <c r="R45" t="b">
        <f t="shared" si="4"/>
        <v>1</v>
      </c>
    </row>
    <row r="46" spans="1:18" x14ac:dyDescent="0.35">
      <c r="A46">
        <v>45</v>
      </c>
      <c r="B46" t="s">
        <v>42</v>
      </c>
      <c r="C46" t="s">
        <v>32</v>
      </c>
      <c r="D46" s="2">
        <v>45101</v>
      </c>
      <c r="E46" s="2">
        <v>45241</v>
      </c>
      <c r="F46" t="s">
        <v>19</v>
      </c>
      <c r="G46">
        <v>-1</v>
      </c>
      <c r="H46">
        <v>3</v>
      </c>
      <c r="I46">
        <v>323.39999999999998</v>
      </c>
      <c r="J46">
        <f t="shared" si="0"/>
        <v>1293.5999999999999</v>
      </c>
      <c r="L46">
        <v>5</v>
      </c>
      <c r="N46" t="str">
        <f t="shared" si="1"/>
        <v>Grace Wilson</v>
      </c>
      <c r="O46" t="str">
        <f t="shared" si="2"/>
        <v>Australia</v>
      </c>
      <c r="Q46">
        <f t="shared" si="3"/>
        <v>4</v>
      </c>
      <c r="R46" t="b">
        <f t="shared" si="4"/>
        <v>1</v>
      </c>
    </row>
    <row r="47" spans="1:18" x14ac:dyDescent="0.35">
      <c r="A47">
        <v>46</v>
      </c>
      <c r="B47" t="s">
        <v>31</v>
      </c>
      <c r="C47" t="s">
        <v>27</v>
      </c>
      <c r="D47" s="2">
        <v>45171</v>
      </c>
      <c r="E47" s="2">
        <v>45098</v>
      </c>
      <c r="F47" t="s">
        <v>39</v>
      </c>
      <c r="G47">
        <v>-1</v>
      </c>
      <c r="H47">
        <v>2</v>
      </c>
      <c r="I47">
        <v>264.89</v>
      </c>
      <c r="J47">
        <f t="shared" si="0"/>
        <v>1059.56</v>
      </c>
      <c r="L47">
        <v>1</v>
      </c>
      <c r="N47" t="str">
        <f t="shared" si="1"/>
        <v>Irene Taylor</v>
      </c>
      <c r="O47" t="str">
        <f t="shared" si="2"/>
        <v>India</v>
      </c>
      <c r="Q47">
        <f t="shared" si="3"/>
        <v>4</v>
      </c>
      <c r="R47" t="b">
        <f t="shared" si="4"/>
        <v>0</v>
      </c>
    </row>
    <row r="48" spans="1:18" x14ac:dyDescent="0.35">
      <c r="A48">
        <v>47</v>
      </c>
      <c r="B48" t="s">
        <v>12</v>
      </c>
      <c r="D48" s="2">
        <v>44959</v>
      </c>
      <c r="E48" s="2">
        <v>45270</v>
      </c>
      <c r="F48" t="s">
        <v>64</v>
      </c>
      <c r="G48">
        <v>1</v>
      </c>
      <c r="H48">
        <v>1</v>
      </c>
      <c r="I48">
        <v>425.87</v>
      </c>
      <c r="J48">
        <f t="shared" si="0"/>
        <v>425.87</v>
      </c>
      <c r="L48" t="s">
        <v>68</v>
      </c>
      <c r="N48" t="str">
        <f t="shared" si="1"/>
        <v>Bob Johnson</v>
      </c>
      <c r="O48" t="str">
        <f t="shared" si="2"/>
        <v>N/A</v>
      </c>
      <c r="Q48">
        <f t="shared" si="3"/>
        <v>1</v>
      </c>
      <c r="R48" t="b">
        <f t="shared" si="4"/>
        <v>1</v>
      </c>
    </row>
    <row r="49" spans="1:18" x14ac:dyDescent="0.35">
      <c r="A49">
        <v>48</v>
      </c>
      <c r="B49" t="s">
        <v>12</v>
      </c>
      <c r="D49" s="2">
        <v>45218</v>
      </c>
      <c r="E49" s="2">
        <v>44942</v>
      </c>
      <c r="F49" t="s">
        <v>19</v>
      </c>
      <c r="G49">
        <v>5</v>
      </c>
      <c r="H49">
        <v>3</v>
      </c>
      <c r="I49">
        <v>242.09</v>
      </c>
      <c r="J49">
        <f t="shared" si="0"/>
        <v>1210.45</v>
      </c>
      <c r="L49">
        <v>3</v>
      </c>
      <c r="N49" t="str">
        <f t="shared" si="1"/>
        <v>Bob Johnson</v>
      </c>
      <c r="O49" t="str">
        <f t="shared" si="2"/>
        <v>N/A</v>
      </c>
      <c r="Q49">
        <f t="shared" si="3"/>
        <v>5</v>
      </c>
      <c r="R49" t="b">
        <f t="shared" si="4"/>
        <v>0</v>
      </c>
    </row>
    <row r="50" spans="1:18" x14ac:dyDescent="0.35">
      <c r="A50">
        <v>49</v>
      </c>
      <c r="B50" t="s">
        <v>25</v>
      </c>
      <c r="C50" t="s">
        <v>17</v>
      </c>
      <c r="D50" s="2">
        <v>45067</v>
      </c>
      <c r="E50" s="2">
        <v>45263</v>
      </c>
      <c r="F50" t="s">
        <v>22</v>
      </c>
      <c r="G50">
        <v>6</v>
      </c>
      <c r="H50">
        <v>2</v>
      </c>
      <c r="I50">
        <v>142.9</v>
      </c>
      <c r="J50">
        <f t="shared" si="0"/>
        <v>857.40000000000009</v>
      </c>
      <c r="L50" t="s">
        <v>68</v>
      </c>
      <c r="N50" t="str">
        <f t="shared" si="1"/>
        <v>Emily Davis</v>
      </c>
      <c r="O50" t="str">
        <f t="shared" si="2"/>
        <v>Spain</v>
      </c>
      <c r="Q50">
        <f t="shared" si="3"/>
        <v>6</v>
      </c>
      <c r="R50" t="b">
        <f t="shared" si="4"/>
        <v>1</v>
      </c>
    </row>
    <row r="51" spans="1:18" x14ac:dyDescent="0.35">
      <c r="A51">
        <v>50</v>
      </c>
      <c r="B51" t="s">
        <v>42</v>
      </c>
      <c r="C51" t="s">
        <v>36</v>
      </c>
      <c r="D51" s="2">
        <v>45003</v>
      </c>
      <c r="E51" s="2">
        <v>45105</v>
      </c>
      <c r="F51" t="s">
        <v>19</v>
      </c>
      <c r="G51">
        <v>9</v>
      </c>
      <c r="H51">
        <v>2</v>
      </c>
      <c r="I51">
        <v>351.19</v>
      </c>
      <c r="J51">
        <f t="shared" si="0"/>
        <v>3160.71</v>
      </c>
      <c r="L51">
        <v>2</v>
      </c>
      <c r="N51" t="str">
        <f t="shared" si="1"/>
        <v>Grace Wilson</v>
      </c>
      <c r="O51" t="str">
        <f t="shared" si="2"/>
        <v>Italy</v>
      </c>
      <c r="Q51">
        <f t="shared" si="3"/>
        <v>9</v>
      </c>
      <c r="R51" t="b">
        <f t="shared" si="4"/>
        <v>1</v>
      </c>
    </row>
    <row r="52" spans="1:18" x14ac:dyDescent="0.35">
      <c r="A52">
        <v>51</v>
      </c>
      <c r="B52" t="s">
        <v>38</v>
      </c>
      <c r="D52" s="2">
        <v>45104</v>
      </c>
      <c r="E52" s="2">
        <v>44944</v>
      </c>
      <c r="F52" t="s">
        <v>22</v>
      </c>
      <c r="G52">
        <v>1</v>
      </c>
      <c r="H52">
        <v>3</v>
      </c>
      <c r="I52">
        <v>226.29</v>
      </c>
      <c r="J52">
        <f t="shared" si="0"/>
        <v>226.29</v>
      </c>
      <c r="L52" t="s">
        <v>68</v>
      </c>
      <c r="N52" t="str">
        <f t="shared" si="1"/>
        <v>Frank Miller</v>
      </c>
      <c r="O52" t="str">
        <f t="shared" si="2"/>
        <v>N/A</v>
      </c>
      <c r="Q52">
        <f t="shared" si="3"/>
        <v>1</v>
      </c>
      <c r="R52" t="b">
        <f t="shared" si="4"/>
        <v>0</v>
      </c>
    </row>
    <row r="53" spans="1:18" x14ac:dyDescent="0.35">
      <c r="A53">
        <v>52</v>
      </c>
      <c r="B53" t="s">
        <v>31</v>
      </c>
      <c r="C53" t="s">
        <v>13</v>
      </c>
      <c r="D53" s="2">
        <v>45074</v>
      </c>
      <c r="E53" s="2">
        <v>44999</v>
      </c>
      <c r="F53" t="s">
        <v>64</v>
      </c>
      <c r="G53">
        <v>1</v>
      </c>
      <c r="H53">
        <v>2</v>
      </c>
      <c r="I53">
        <v>52.86</v>
      </c>
      <c r="J53">
        <f t="shared" si="0"/>
        <v>52.86</v>
      </c>
      <c r="L53">
        <v>2</v>
      </c>
      <c r="N53" t="str">
        <f t="shared" si="1"/>
        <v>Irene Taylor</v>
      </c>
      <c r="O53" t="str">
        <f t="shared" si="2"/>
        <v>Brazil</v>
      </c>
      <c r="Q53">
        <f t="shared" si="3"/>
        <v>1</v>
      </c>
      <c r="R53" t="b">
        <f t="shared" si="4"/>
        <v>0</v>
      </c>
    </row>
    <row r="54" spans="1:18" x14ac:dyDescent="0.35">
      <c r="A54">
        <v>53</v>
      </c>
      <c r="B54" t="s">
        <v>20</v>
      </c>
      <c r="C54" t="s">
        <v>36</v>
      </c>
      <c r="D54" s="2">
        <v>45263</v>
      </c>
      <c r="E54" s="2">
        <v>45196</v>
      </c>
      <c r="F54" t="s">
        <v>22</v>
      </c>
      <c r="G54">
        <v>10</v>
      </c>
      <c r="H54">
        <v>3</v>
      </c>
      <c r="I54">
        <v>440.64</v>
      </c>
      <c r="J54">
        <f t="shared" si="0"/>
        <v>4406.3999999999996</v>
      </c>
      <c r="L54" t="s">
        <v>68</v>
      </c>
      <c r="N54" t="str">
        <f t="shared" si="1"/>
        <v>Alice Smith</v>
      </c>
      <c r="O54" t="str">
        <f t="shared" si="2"/>
        <v>Italy</v>
      </c>
      <c r="Q54">
        <f t="shared" si="3"/>
        <v>10</v>
      </c>
      <c r="R54" t="b">
        <f t="shared" si="4"/>
        <v>0</v>
      </c>
    </row>
    <row r="55" spans="1:18" x14ac:dyDescent="0.35">
      <c r="A55">
        <v>54</v>
      </c>
      <c r="B55" t="s">
        <v>42</v>
      </c>
      <c r="C55" t="s">
        <v>56</v>
      </c>
      <c r="D55" s="2">
        <v>45042</v>
      </c>
      <c r="E55" s="2">
        <v>45106</v>
      </c>
      <c r="F55" t="s">
        <v>24</v>
      </c>
      <c r="G55">
        <v>-2</v>
      </c>
      <c r="H55">
        <v>3</v>
      </c>
      <c r="I55">
        <v>366.8</v>
      </c>
      <c r="J55">
        <f t="shared" si="0"/>
        <v>1467.2</v>
      </c>
      <c r="L55">
        <v>4</v>
      </c>
      <c r="N55" t="str">
        <f t="shared" si="1"/>
        <v>Grace Wilson</v>
      </c>
      <c r="O55" t="str">
        <f t="shared" si="2"/>
        <v>France</v>
      </c>
      <c r="Q55">
        <f t="shared" si="3"/>
        <v>4</v>
      </c>
      <c r="R55" t="b">
        <f t="shared" si="4"/>
        <v>1</v>
      </c>
    </row>
    <row r="56" spans="1:18" x14ac:dyDescent="0.35">
      <c r="A56">
        <v>55</v>
      </c>
      <c r="C56" t="s">
        <v>13</v>
      </c>
      <c r="D56" s="2">
        <v>45045</v>
      </c>
      <c r="E56" s="2">
        <v>45103</v>
      </c>
      <c r="F56" t="s">
        <v>22</v>
      </c>
      <c r="G56">
        <v>-2</v>
      </c>
      <c r="H56">
        <v>4</v>
      </c>
      <c r="I56">
        <v>118.34</v>
      </c>
      <c r="J56">
        <f t="shared" si="0"/>
        <v>473.36</v>
      </c>
      <c r="L56">
        <v>3</v>
      </c>
      <c r="N56" t="str">
        <f t="shared" si="1"/>
        <v>N/A</v>
      </c>
      <c r="O56" t="str">
        <f t="shared" si="2"/>
        <v>Brazil</v>
      </c>
      <c r="Q56">
        <f t="shared" si="3"/>
        <v>4</v>
      </c>
      <c r="R56" t="b">
        <f t="shared" si="4"/>
        <v>1</v>
      </c>
    </row>
    <row r="57" spans="1:18" x14ac:dyDescent="0.35">
      <c r="A57">
        <v>56</v>
      </c>
      <c r="B57" t="s">
        <v>16</v>
      </c>
      <c r="C57" t="s">
        <v>34</v>
      </c>
      <c r="D57" s="2">
        <v>45023</v>
      </c>
      <c r="E57" s="2">
        <v>45130</v>
      </c>
      <c r="F57" t="s">
        <v>22</v>
      </c>
      <c r="G57">
        <v>4</v>
      </c>
      <c r="H57">
        <v>1</v>
      </c>
      <c r="I57">
        <v>238.35</v>
      </c>
      <c r="J57">
        <f t="shared" si="0"/>
        <v>953.4</v>
      </c>
      <c r="L57" t="s">
        <v>68</v>
      </c>
      <c r="N57" t="str">
        <f t="shared" si="1"/>
        <v>David Brown</v>
      </c>
      <c r="O57" t="str">
        <f t="shared" si="2"/>
        <v>Uk</v>
      </c>
      <c r="Q57">
        <f t="shared" si="3"/>
        <v>4</v>
      </c>
      <c r="R57" t="b">
        <f t="shared" si="4"/>
        <v>1</v>
      </c>
    </row>
    <row r="58" spans="1:18" x14ac:dyDescent="0.35">
      <c r="A58">
        <v>57</v>
      </c>
      <c r="B58" t="s">
        <v>25</v>
      </c>
      <c r="C58" t="s">
        <v>30</v>
      </c>
      <c r="D58" s="2">
        <v>45177</v>
      </c>
      <c r="E58" s="2">
        <v>45205</v>
      </c>
      <c r="F58" t="s">
        <v>64</v>
      </c>
      <c r="G58">
        <v>6</v>
      </c>
      <c r="H58">
        <v>2</v>
      </c>
      <c r="I58">
        <v>58.79</v>
      </c>
      <c r="J58">
        <f t="shared" si="0"/>
        <v>352.74</v>
      </c>
      <c r="L58">
        <v>4</v>
      </c>
      <c r="N58" t="str">
        <f t="shared" si="1"/>
        <v>Emily Davis</v>
      </c>
      <c r="O58" t="str">
        <f t="shared" si="2"/>
        <v>Usa</v>
      </c>
      <c r="Q58">
        <f t="shared" si="3"/>
        <v>6</v>
      </c>
      <c r="R58" t="b">
        <f t="shared" si="4"/>
        <v>1</v>
      </c>
    </row>
    <row r="59" spans="1:18" x14ac:dyDescent="0.35">
      <c r="A59">
        <v>58</v>
      </c>
      <c r="B59" t="s">
        <v>33</v>
      </c>
      <c r="C59" t="s">
        <v>17</v>
      </c>
      <c r="D59" s="2">
        <v>45050</v>
      </c>
      <c r="E59" s="2">
        <v>45048</v>
      </c>
      <c r="F59" t="s">
        <v>19</v>
      </c>
      <c r="G59">
        <v>-2</v>
      </c>
      <c r="H59">
        <v>2</v>
      </c>
      <c r="I59">
        <v>491.83</v>
      </c>
      <c r="J59">
        <f t="shared" si="0"/>
        <v>1967.32</v>
      </c>
      <c r="L59">
        <v>3</v>
      </c>
      <c r="N59" t="str">
        <f t="shared" si="1"/>
        <v>Henry Moore</v>
      </c>
      <c r="O59" t="str">
        <f t="shared" si="2"/>
        <v>Spain</v>
      </c>
      <c r="Q59">
        <f t="shared" si="3"/>
        <v>4</v>
      </c>
      <c r="R59" t="b">
        <f t="shared" si="4"/>
        <v>0</v>
      </c>
    </row>
    <row r="60" spans="1:18" x14ac:dyDescent="0.35">
      <c r="A60">
        <v>59</v>
      </c>
      <c r="B60" t="s">
        <v>16</v>
      </c>
      <c r="C60" t="s">
        <v>13</v>
      </c>
      <c r="D60" s="2">
        <v>45117</v>
      </c>
      <c r="E60" s="2">
        <v>45091</v>
      </c>
      <c r="F60" t="s">
        <v>19</v>
      </c>
      <c r="G60">
        <v>6</v>
      </c>
      <c r="H60">
        <v>4</v>
      </c>
      <c r="I60">
        <v>407.16</v>
      </c>
      <c r="J60">
        <f t="shared" si="0"/>
        <v>2442.96</v>
      </c>
      <c r="L60">
        <v>3</v>
      </c>
      <c r="N60" t="str">
        <f t="shared" si="1"/>
        <v>David Brown</v>
      </c>
      <c r="O60" t="str">
        <f t="shared" si="2"/>
        <v>Brazil</v>
      </c>
      <c r="Q60">
        <f t="shared" si="3"/>
        <v>6</v>
      </c>
      <c r="R60" t="b">
        <f t="shared" si="4"/>
        <v>0</v>
      </c>
    </row>
    <row r="61" spans="1:18" x14ac:dyDescent="0.35">
      <c r="A61">
        <v>60</v>
      </c>
      <c r="B61" t="s">
        <v>12</v>
      </c>
      <c r="C61" t="s">
        <v>36</v>
      </c>
      <c r="D61" s="2">
        <v>45242</v>
      </c>
      <c r="E61" s="2">
        <v>45022</v>
      </c>
      <c r="F61" t="s">
        <v>28</v>
      </c>
      <c r="G61">
        <v>0</v>
      </c>
      <c r="H61">
        <v>1</v>
      </c>
      <c r="I61">
        <v>412.46</v>
      </c>
      <c r="J61">
        <f t="shared" si="0"/>
        <v>1649.84</v>
      </c>
      <c r="L61">
        <v>2</v>
      </c>
      <c r="N61" t="str">
        <f t="shared" si="1"/>
        <v>Bob Johnson</v>
      </c>
      <c r="O61" t="str">
        <f t="shared" si="2"/>
        <v>Italy</v>
      </c>
      <c r="Q61">
        <f t="shared" si="3"/>
        <v>4</v>
      </c>
      <c r="R61" t="b">
        <f t="shared" si="4"/>
        <v>0</v>
      </c>
    </row>
  </sheetData>
  <conditionalFormatting sqref="A1:A1048576">
    <cfRule type="duplicateValues" dxfId="3" priority="3"/>
  </conditionalFormatting>
  <conditionalFormatting sqref="R1:R1048576">
    <cfRule type="containsText" dxfId="2" priority="1" operator="containsText" text="false">
      <formula>NOT(ISERROR(SEARCH("false",R1)))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23FCE8-D075-4745-9723-B2F783B2E3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 set</vt:lpstr>
      <vt:lpstr>BI insights</vt:lpstr>
      <vt:lpstr>hotel_booking_dataset</vt:lpstr>
      <vt:lpstr>Working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Tahoora Pathan</cp:lastModifiedBy>
  <cp:lastPrinted>2025-11-07T12:51:05Z</cp:lastPrinted>
  <dcterms:created xsi:type="dcterms:W3CDTF">2025-11-04T07:35:56Z</dcterms:created>
  <dcterms:modified xsi:type="dcterms:W3CDTF">2026-09-11T13:09:04Z</dcterms:modified>
</cp:coreProperties>
</file>